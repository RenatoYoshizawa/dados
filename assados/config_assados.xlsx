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38f63013f24c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ções" sheetId="1" r:id="Rd38aa1a0968b49a8"/>
    <x:sheet xmlns:r="http://schemas.openxmlformats.org/officeDocument/2006/relationships" name="Cardapio" sheetId="2" r:id="R04863508df424a99"/>
    <x:sheet xmlns:r="http://schemas.openxmlformats.org/officeDocument/2006/relationships" name="Locais_Entrega" sheetId="3" r:id="R79571b8456134a0f"/>
    <x:sheet xmlns:r="http://schemas.openxmlformats.org/officeDocument/2006/relationships" name="Horarios" sheetId="4" r:id="R87268985d8dc4836"/>
    <x:sheet xmlns:r="http://schemas.openxmlformats.org/officeDocument/2006/relationships" name="Formas_Pagamento" sheetId="5" r:id="Rb94d8207bffc40ec"/>
    <x:sheet xmlns:r="http://schemas.openxmlformats.org/officeDocument/2006/relationships" name="Mensagens" sheetId="6" r:id="R7111c2493c054d76"/>
    <x:sheet xmlns:r="http://schemas.openxmlformats.org/officeDocument/2006/relationships" name="Combos_Promocoes" sheetId="7" r:id="R66b7b47184a54a99"/>
    <x:sheet xmlns:r="http://schemas.openxmlformats.org/officeDocument/2006/relationships" name="Configuracoes" sheetId="8" r:id="R0f0c02b556024a67"/>
    <x:sheet xmlns:r="http://schemas.openxmlformats.org/officeDocument/2006/relationships" name="Modelo_Pedidos_Diario" sheetId="9" r:id="R6fe8d47373dc4d59"/>
    <x:sheet xmlns:r="http://schemas.openxmlformats.org/officeDocument/2006/relationships" name="Resumo_Cardapio" sheetId="10" r:id="Rbfbea40b4d9540c9"/>
    <x:sheet xmlns:r="http://schemas.openxmlformats.org/officeDocument/2006/relationships" name="Listas" sheetId="11" r:id="R7b51e05e22054c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R$ #,##0.0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7C2D12"/>
      </x:patternFill>
    </x:fill>
    <x:fill>
      <x:patternFill patternType="solid">
        <x:fgColor rgb="431407"/>
      </x:patternFill>
    </x:fill>
    <x:fill>
      <x:patternFill patternType="solid">
        <x:fgColor rgb="FED7AA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  <x:dxfs count="5"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3f0197fc67419c" /><Relationship Type="http://schemas.openxmlformats.org/officeDocument/2006/relationships/theme" Target="/xl/theme/theme1.xml" Id="Rea2d249607f747ec" /><Relationship Type="http://schemas.openxmlformats.org/officeDocument/2006/relationships/sharedStrings" Target="/xl/sharedStrings.xml" Id="R9f0c7954e13749c3" /><Relationship Type="http://schemas.openxmlformats.org/officeDocument/2006/relationships/worksheet" Target="/xl/worksheets/sheet1.xml" Id="Rd38aa1a0968b49a8" /><Relationship Type="http://schemas.openxmlformats.org/officeDocument/2006/relationships/worksheet" Target="/xl/worksheets/sheet2.xml" Id="R04863508df424a99" /><Relationship Type="http://schemas.openxmlformats.org/officeDocument/2006/relationships/worksheet" Target="/xl/worksheets/sheet3.xml" Id="R79571b8456134a0f" /><Relationship Type="http://schemas.openxmlformats.org/officeDocument/2006/relationships/worksheet" Target="/xl/worksheets/sheet4.xml" Id="R87268985d8dc4836" /><Relationship Type="http://schemas.openxmlformats.org/officeDocument/2006/relationships/worksheet" Target="/xl/worksheets/sheet5.xml" Id="Rb94d8207bffc40ec" /><Relationship Type="http://schemas.openxmlformats.org/officeDocument/2006/relationships/worksheet" Target="/xl/worksheets/sheet6.xml" Id="R7111c2493c054d76" /><Relationship Type="http://schemas.openxmlformats.org/officeDocument/2006/relationships/worksheet" Target="/xl/worksheets/sheet7.xml" Id="R66b7b47184a54a99" /><Relationship Type="http://schemas.openxmlformats.org/officeDocument/2006/relationships/worksheet" Target="/xl/worksheets/sheet8.xml" Id="R0f0c02b556024a67" /><Relationship Type="http://schemas.openxmlformats.org/officeDocument/2006/relationships/worksheet" Target="/xl/worksheets/sheet9.xml" Id="R6fe8d47373dc4d59" /><Relationship Type="http://schemas.openxmlformats.org/officeDocument/2006/relationships/worksheet" Target="/xl/worksheets/sheet10.xml" Id="Rbfbea40b4d9540c9" /><Relationship Type="http://schemas.openxmlformats.org/officeDocument/2006/relationships/worksheet" Target="/xl/worksheets/sheet11.xml" Id="R7b51e05e22054c72" /></Relationships>
</file>

<file path=xl/tables/table1.xml><?xml version="1.0" encoding="utf-8"?>
<x:table xmlns:x="http://schemas.openxmlformats.org/spreadsheetml/2006/main" id="1" name="TabelaCardapio" displayName="TabelaCardapio" ref="A1:G55" headerRowCount="1">
  <x:tableColumns count="7">
    <x:tableColumn id="1" name="Código"/>
    <x:tableColumn id="2" name="Categoria"/>
    <x:tableColumn id="3" name="Produto"/>
    <x:tableColumn id="4" name="Unidade"/>
    <x:tableColumn id="5" name="Preço"/>
    <x:tableColumn id="6" name="Disponível"/>
    <x:tableColumn id="7" name="Observação"/>
  </x:tableColumns>
  <x:tableStyleInfo name="TableStyleMedium2" showRowStripes="1"/>
</x:table>
</file>

<file path=xl/tables/table2.xml><?xml version="1.0" encoding="utf-8"?>
<x:table xmlns:x="http://schemas.openxmlformats.org/spreadsheetml/2006/main" id="2" name="TabelaLocaisEntrega" displayName="TabelaLocaisEntrega" ref="A1:F7" headerRowCount="1">
  <x:tableColumns count="6">
    <x:tableColumn id="1" name="Código"/>
    <x:tableColumn id="2" name="Bairro/Região"/>
    <x:tableColumn id="3" name="Taxa de entrega"/>
    <x:tableColumn id="4" name="Tempo estimado"/>
    <x:tableColumn id="5" name="Atende?"/>
    <x:tableColumn id="6" name="Observação"/>
  </x:tableColumns>
  <x:tableStyleInfo name="TableStyleMedium2" showRowStripes="1"/>
</x:table>
</file>

<file path=xl/tables/table3.xml><?xml version="1.0" encoding="utf-8"?>
<x:table xmlns:x="http://schemas.openxmlformats.org/spreadsheetml/2006/main" id="3" name="TabelaHorarios" displayName="TabelaHorarios" ref="A1:E8" headerRowCount="1">
  <x:tableColumns count="5">
    <x:tableColumn id="1" name="Dia da semana"/>
    <x:tableColumn id="2" name="Abre"/>
    <x:tableColumn id="3" name="Fecha"/>
    <x:tableColumn id="4" name="Aceita pedido?"/>
    <x:tableColumn id="5" name="Observação"/>
  </x:tableColumns>
  <x:tableStyleInfo name="TableStyleMedium2" showRowStripes="1"/>
</x:table>
</file>

<file path=xl/tables/table4.xml><?xml version="1.0" encoding="utf-8"?>
<x:table xmlns:x="http://schemas.openxmlformats.org/spreadsheetml/2006/main" id="4" name="TabelaFormasPagamento" displayName="TabelaFormasPagamento" ref="A1:E6" headerRowCount="1">
  <x:tableColumns count="5">
    <x:tableColumn id="1" name="Código"/>
    <x:tableColumn id="2" name="Forma de pagamento"/>
    <x:tableColumn id="3" name="Disponível"/>
    <x:tableColumn id="4" name="Perguntar troco?"/>
    <x:tableColumn id="5" name="Observação"/>
  </x:tableColumns>
  <x:tableStyleInfo name="TableStyleMedium2" showRowStripes="1"/>
</x:table>
</file>

<file path=xl/tables/table5.xml><?xml version="1.0" encoding="utf-8"?>
<x:table xmlns:x="http://schemas.openxmlformats.org/spreadsheetml/2006/main" id="5" name="TabelaMensagens" displayName="TabelaMensagens" ref="A1:B19" headerRowCount="1">
  <x:tableColumns count="2">
    <x:tableColumn id="1" name="Chave"/>
    <x:tableColumn id="2" name="Mensagem"/>
  </x:tableColumns>
  <x:tableStyleInfo name="TableStyleMedium2" showRowStripes="1"/>
</x:table>
</file>

<file path=xl/tables/table6.xml><?xml version="1.0" encoding="utf-8"?>
<x:table xmlns:x="http://schemas.openxmlformats.org/spreadsheetml/2006/main" id="6" name="TabelaCombosPromocoes" displayName="TabelaCombosPromocoes" ref="A1:F5" headerRowCount="1">
  <x:tableColumns count="6">
    <x:tableColumn id="1" name="Código"/>
    <x:tableColumn id="2" name="Nome do combo"/>
    <x:tableColumn id="3" name="Itens sugeridos"/>
    <x:tableColumn id="4" name="Preço"/>
    <x:tableColumn id="5" name="Disponível"/>
    <x:tableColumn id="6" name="Observação"/>
  </x:tableColumns>
  <x:tableStyleInfo name="TableStyleMedium2" showRowStripes="1"/>
</x:table>
</file>

<file path=xl/tables/table7.xml><?xml version="1.0" encoding="utf-8"?>
<x:table xmlns:x="http://schemas.openxmlformats.org/spreadsheetml/2006/main" id="7" name="TabelaConfiguracoes" displayName="TabelaConfiguracoes" ref="A1:C13" headerRowCount="1">
  <x:tableColumns count="3">
    <x:tableColumn id="1" name="Campo"/>
    <x:tableColumn id="2" name="Valor"/>
    <x:tableColumn id="3" name="Observação"/>
  </x:tableColumns>
  <x:tableStyleInfo name="TableStyleMedium2" showRowStripes="1"/>
</x:table>
</file>

<file path=xl/tables/table8.xml><?xml version="1.0" encoding="utf-8"?>
<x:table xmlns:x="http://schemas.openxmlformats.org/spreadsheetml/2006/main" id="8" name="TabelaModeloPedidos" displayName="TabelaModeloPedidos" ref="A1:P3" headerRowCount="1">
  <x:tableColumns count="16">
    <x:tableColumn id="1" name="Nº Pedido"/>
    <x:tableColumn id="2" name="Data"/>
    <x:tableColumn id="3" name="Hora"/>
    <x:tableColumn id="4" name="Cliente"/>
    <x:tableColumn id="5" name="Telefone"/>
    <x:tableColumn id="6" name="Tipo"/>
    <x:tableColumn id="7" name="Bairro"/>
    <x:tableColumn id="8" name="Endereço"/>
    <x:tableColumn id="9" name="Itens"/>
    <x:tableColumn id="10" name="Subtotal"/>
    <x:tableColumn id="11" name="Taxa entrega"/>
    <x:tableColumn id="12" name="Total"/>
    <x:tableColumn id="13" name="Pagamento"/>
    <x:tableColumn id="14" name="Troco para"/>
    <x:tableColumn id="15" name="Status"/>
    <x:tableColumn id="16" name="Observaçã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a2b902543841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04244e2c1b4e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4b1ebcd162947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017630538346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6da28fe5edc40c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4becb0867514d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f37f23dbee544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9d5d61775b749d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 ht="30" customHeight="1">
      <x:c r="A1" s="17" t="str">
        <x:v>CONFIGURAÇÃO DO CHATBOT — LOJA DE ASSADOS</x:v>
      </x:c>
      <x:c r="B1" s="17" t="str"/>
    </x:row>
    <x:row r="2">
      <x:c r="A2" s="13" t="str">
        <x:v>Arquivo</x:v>
      </x:c>
      <x:c r="B2" s="13" t="str">
        <x:v>config_assados.xlsx</x:v>
      </x:c>
    </x:row>
    <x:row r="3">
      <x:c r="A3" s="13" t="str">
        <x:v>Fonte do cardápio</x:v>
      </x:c>
      <x:c r="B3" s="13" t="str">
        <x:v>Tabela de preços JMD enviada em PDF pelo usuário</x:v>
      </x:c>
    </x:row>
    <x:row r="4">
      <x:c r="A4" s="13" t="str">
        <x:v>Objetivo</x:v>
      </x:c>
      <x:c r="B4" s="13" t="str">
        <x:v>Centralizar os dados editáveis usados pelo chatbot do WhatsApp.</x:v>
      </x:c>
    </x:row>
    <x:row r="5">
      <x:c r="A5" s="13" t="str"/>
      <x:c r="B5" s="13" t="str"/>
    </x:row>
    <x:row r="6">
      <x:c r="A6" s="13" t="str">
        <x:v>Como usar</x:v>
      </x:c>
      <x:c r="B6" s="13" t="str">
        <x:v>Atualize produtos, preços, disponibilidade, bairros, horários, pagamentos, mensagens e combos nas abas correspondentes.</x:v>
      </x:c>
    </x:row>
    <x:row r="7">
      <x:c r="A7" s="13" t="str">
        <x:v>Campos SIM/NÃO</x:v>
      </x:c>
      <x:c r="B7" s="13" t="str">
        <x:v>Use apenas SIM ou NÃO para evitar erro de leitura no robô.</x:v>
      </x:c>
    </x:row>
    <x:row r="8">
      <x:c r="A8" s="13" t="str">
        <x:v>Cardápio</x:v>
      </x:c>
      <x:c r="B8" s="13" t="str">
        <x:v>Altere preço, disponibilidade e observação sem modificar o código Python.</x:v>
      </x:c>
    </x:row>
    <x:row r="9">
      <x:c r="A9" s="13" t="str">
        <x:v>Pedidos diários</x:v>
      </x:c>
      <x:c r="B9" s="13" t="str">
        <x:v>O robô deverá gerar uma planilha separada por dia, usando a aba Modelo_Pedidos_Diario como referência.</x:v>
      </x:c>
    </x:row>
    <x:row r="10">
      <x:c r="A10" s="13" t="str">
        <x:v>Atenção</x:v>
      </x:c>
      <x:c r="B10" s="13" t="str">
        <x:v>Revise endereço, telefone, chave Pix, bairros atendidos e horários antes de colocar em produção.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2" hidden="0" customWidth="1"/>
    <x:col min="4" max="4" width="15" hidden="0" customWidth="1"/>
    <x:col min="5" max="5" width="13" hidden="0" customWidth="1"/>
    <x:col min="6" max="6" width="14" hidden="0" customWidth="1"/>
    <x:col min="7" max="7" width="42" hidden="0" customWidth="1"/>
    <x:col min="9" max="9" width="16" hidden="0" customWidth="1"/>
    <x:col min="10" max="10" width="60" hidden="0" customWidth="1"/>
  </x:cols>
  <x:sheetData>
    <x:row r="1" ht="24" customHeight="1">
      <x:c r="A1" s="6" t="str">
        <x:v>Código</x:v>
      </x:c>
      <x:c r="B1" s="6" t="str">
        <x:v>Categoria</x:v>
      </x:c>
      <x:c r="C1" s="6" t="str">
        <x:v>Produto</x:v>
      </x:c>
      <x:c r="D1" s="6" t="str">
        <x:v>Unidade</x:v>
      </x:c>
      <x:c r="E1" s="6" t="str">
        <x:v>Preço</x:v>
      </x:c>
      <x:c r="F1" s="6" t="str">
        <x:v>Disponível</x:v>
      </x:c>
      <x:c r="G1" s="6" t="str">
        <x:v>Observação</x:v>
      </x:c>
      <x:c r="I1" s="29" t="str">
        <x:v>Fonte</x:v>
      </x:c>
      <x:c r="J1" s="13" t="str">
        <x:v>PDF TABELA DE PRECOS JMD enviado pelo usuário</x:v>
      </x:c>
    </x:row>
    <x:row r="2">
      <x:c r="A2" s="13" t="str">
        <x:v>A001</x:v>
      </x:c>
      <x:c r="B2" s="13" t="str">
        <x:v>Assados</x:v>
      </x:c>
      <x:c r="C2" s="13" t="str">
        <x:v>Frango</x:v>
      </x:c>
      <x:c r="D2" s="13" t="str">
        <x:v>unidade</x:v>
      </x:c>
      <x:c r="E2" s="20" t="n">
        <x:v>54.99</x:v>
      </x:c>
      <x:c r="F2" s="13" t="str">
        <x:v>SIM</x:v>
      </x:c>
      <x:c r="G2" s="13" t="str">
        <x:v>Produto principal</x:v>
      </x:c>
      <x:c r="I2" s="29" t="str">
        <x:v>Observação</x:v>
      </x:c>
      <x:c r="J2" s="13" t="str">
        <x:v>Cardápio importado e organizado para uso no chatbot.</x:v>
      </x:c>
    </x:row>
    <x:row r="3">
      <x:c r="A3" s="13" t="str">
        <x:v>A002</x:v>
      </x:c>
      <x:c r="B3" s="13" t="str">
        <x:v>Assados</x:v>
      </x:c>
      <x:c r="C3" s="13" t="str">
        <x:v>Costela</x:v>
      </x:c>
      <x:c r="D3" s="13" t="str">
        <x:v>500g</x:v>
      </x:c>
      <x:c r="E3" s="20" t="n">
        <x:v>59.99</x:v>
      </x:c>
      <x:c r="F3" s="13" t="str">
        <x:v>SIM</x:v>
      </x:c>
      <x:c r="G3" s="13" t="str"/>
      <x:c r="I3" s="29" t="str">
        <x:v>Atualização</x:v>
      </x:c>
      <x:c r="J3" s="13" t="str">
        <x:v>Edite a coluna Disponível para ativar/desativar produtos.</x:v>
      </x:c>
    </x:row>
    <x:row r="4">
      <x:c r="A4" s="13" t="str">
        <x:v>A003</x:v>
      </x:c>
      <x:c r="B4" s="13" t="str">
        <x:v>Assados</x:v>
      </x:c>
      <x:c r="C4" s="13" t="str">
        <x:v>Fraldinha</x:v>
      </x:c>
      <x:c r="D4" s="13" t="str">
        <x:v>500g</x:v>
      </x:c>
      <x:c r="E4" s="20" t="n">
        <x:v>69.99</x:v>
      </x:c>
      <x:c r="F4" s="13" t="str">
        <x:v>SIM</x:v>
      </x:c>
      <x:c r="G4" s="13" t="str"/>
      <x:c r="I4" s="29" t="str">
        <x:v>Preços</x:v>
      </x:c>
      <x:c r="J4" s="13" t="str">
        <x:v>Valores em reais, conforme tabela recebida.</x:v>
      </x:c>
    </x:row>
    <x:row r="5">
      <x:c r="A5" s="13" t="str">
        <x:v>A004</x:v>
      </x:c>
      <x:c r="B5" s="13" t="str">
        <x:v>Assados</x:v>
      </x:c>
      <x:c r="C5" s="13" t="str">
        <x:v>Cupim</x:v>
      </x:c>
      <x:c r="D5" s="13" t="str">
        <x:v>500g</x:v>
      </x:c>
      <x:c r="E5" s="20" t="n">
        <x:v>69.99</x:v>
      </x:c>
      <x:c r="F5" s="13" t="str">
        <x:v>SIM</x:v>
      </x:c>
      <x:c r="G5" s="13" t="str"/>
    </x:row>
    <x:row r="6">
      <x:c r="A6" s="13" t="str">
        <x:v>A005</x:v>
      </x:c>
      <x:c r="B6" s="13" t="str">
        <x:v>Assados</x:v>
      </x:c>
      <x:c r="C6" s="13" t="str">
        <x:v>Costela sem osso</x:v>
      </x:c>
      <x:c r="D6" s="13" t="str">
        <x:v>500g</x:v>
      </x:c>
      <x:c r="E6" s="20" t="n">
        <x:v>64.99</x:v>
      </x:c>
      <x:c r="F6" s="13" t="str">
        <x:v>SIM</x:v>
      </x:c>
      <x:c r="G6" s="13" t="str"/>
    </x:row>
    <x:row r="7">
      <x:c r="A7" s="13" t="str">
        <x:v>A006</x:v>
      </x:c>
      <x:c r="B7" s="13" t="str">
        <x:v>Assados</x:v>
      </x:c>
      <x:c r="C7" s="13" t="str">
        <x:v>Maminha</x:v>
      </x:c>
      <x:c r="D7" s="13" t="str">
        <x:v>500g</x:v>
      </x:c>
      <x:c r="E7" s="20" t="n">
        <x:v>74.99</x:v>
      </x:c>
      <x:c r="F7" s="13" t="str">
        <x:v>SIM</x:v>
      </x:c>
      <x:c r="G7" s="13" t="str"/>
    </x:row>
    <x:row r="8">
      <x:c r="A8" s="13" t="str">
        <x:v>A007</x:v>
      </x:c>
      <x:c r="B8" s="13" t="str">
        <x:v>Assados</x:v>
      </x:c>
      <x:c r="C8" s="13" t="str">
        <x:v>Filé de coxa e sobrecoxa</x:v>
      </x:c>
      <x:c r="D8" s="13" t="str">
        <x:v>500g</x:v>
      </x:c>
      <x:c r="E8" s="20" t="n">
        <x:v>59.99</x:v>
      </x:c>
      <x:c r="F8" s="13" t="str">
        <x:v>SIM</x:v>
      </x:c>
      <x:c r="G8" s="13" t="str">
        <x:v>No cardápio: Filé de Coxa e Sob.</x:v>
      </x:c>
    </x:row>
    <x:row r="9">
      <x:c r="A9" s="13" t="str">
        <x:v>A008</x:v>
      </x:c>
      <x:c r="B9" s="13" t="str">
        <x:v>Assados</x:v>
      </x:c>
      <x:c r="C9" s="13" t="str">
        <x:v>Linguiça</x:v>
      </x:c>
      <x:c r="D9" s="13" t="str">
        <x:v>500g</x:v>
      </x:c>
      <x:c r="E9" s="20" t="n">
        <x:v>59.99</x:v>
      </x:c>
      <x:c r="F9" s="13" t="str">
        <x:v>SIM</x:v>
      </x:c>
      <x:c r="G9" s="13" t="str"/>
    </x:row>
    <x:row r="10">
      <x:c r="A10" s="13" t="str">
        <x:v>S001</x:v>
      </x:c>
      <x:c r="B10" s="13" t="str">
        <x:v>Saladas</x:v>
      </x:c>
      <x:c r="C10" s="13" t="str">
        <x:v>Maionese</x:v>
      </x:c>
      <x:c r="D10" s="13" t="str">
        <x:v>porção</x:v>
      </x:c>
      <x:c r="E10" s="20" t="n">
        <x:v>19.99</x:v>
      </x:c>
      <x:c r="F10" s="13" t="str">
        <x:v>SIM</x:v>
      </x:c>
      <x:c r="G10" s="13" t="str"/>
    </x:row>
    <x:row r="11">
      <x:c r="A11" s="13" t="str">
        <x:v>S002</x:v>
      </x:c>
      <x:c r="B11" s="13" t="str">
        <x:v>Saladas</x:v>
      </x:c>
      <x:c r="C11" s="13" t="str">
        <x:v>Berinjela</x:v>
      </x:c>
      <x:c r="D11" s="13" t="str">
        <x:v>porção</x:v>
      </x:c>
      <x:c r="E11" s="20" t="n">
        <x:v>16.99</x:v>
      </x:c>
      <x:c r="F11" s="13" t="str">
        <x:v>SIM</x:v>
      </x:c>
      <x:c r="G11" s="13" t="str"/>
    </x:row>
    <x:row r="12">
      <x:c r="A12" s="13" t="str">
        <x:v>S003</x:v>
      </x:c>
      <x:c r="B12" s="13" t="str">
        <x:v>Saladas</x:v>
      </x:c>
      <x:c r="C12" s="13" t="str">
        <x:v>Ovo de codorna</x:v>
      </x:c>
      <x:c r="D12" s="13" t="str">
        <x:v>porção</x:v>
      </x:c>
      <x:c r="E12" s="20" t="n">
        <x:v>14.99</x:v>
      </x:c>
      <x:c r="F12" s="13" t="str">
        <x:v>SIM</x:v>
      </x:c>
      <x:c r="G12" s="13" t="str"/>
    </x:row>
    <x:row r="13">
      <x:c r="A13" s="13" t="str">
        <x:v>F001</x:v>
      </x:c>
      <x:c r="B13" s="13" t="str">
        <x:v>Farofas</x:v>
      </x:c>
      <x:c r="C13" s="13" t="str">
        <x:v>Farofa tradicional</x:v>
      </x:c>
      <x:c r="D13" s="13" t="str">
        <x:v>porção</x:v>
      </x:c>
      <x:c r="E13" s="20" t="n">
        <x:v>18.99</x:v>
      </x:c>
      <x:c r="F13" s="13" t="str">
        <x:v>SIM</x:v>
      </x:c>
      <x:c r="G13" s="13" t="str"/>
    </x:row>
    <x:row r="14">
      <x:c r="A14" s="13" t="str">
        <x:v>F002</x:v>
      </x:c>
      <x:c r="B14" s="13" t="str">
        <x:v>Farofas</x:v>
      </x:c>
      <x:c r="C14" s="13" t="str">
        <x:v>Farofa apimentada</x:v>
      </x:c>
      <x:c r="D14" s="13" t="str">
        <x:v>porção</x:v>
      </x:c>
      <x:c r="E14" s="20" t="n">
        <x:v>18.99</x:v>
      </x:c>
      <x:c r="F14" s="13" t="str">
        <x:v>SIM</x:v>
      </x:c>
      <x:c r="G14" s="13" t="str"/>
    </x:row>
    <x:row r="15">
      <x:c r="A15" s="13" t="str">
        <x:v>AC001</x:v>
      </x:c>
      <x:c r="B15" s="13" t="str">
        <x:v>Acompanhamento</x:v>
      </x:c>
      <x:c r="C15" s="13" t="str">
        <x:v>Arroz</x:v>
      </x:c>
      <x:c r="D15" s="13" t="str">
        <x:v>porção</x:v>
      </x:c>
      <x:c r="E15" s="20" t="n">
        <x:v>11.99</x:v>
      </x:c>
      <x:c r="F15" s="13" t="str">
        <x:v>SIM</x:v>
      </x:c>
      <x:c r="G15" s="13" t="str"/>
    </x:row>
    <x:row r="16">
      <x:c r="A16" s="13" t="str">
        <x:v>AC002</x:v>
      </x:c>
      <x:c r="B16" s="13" t="str">
        <x:v>Acompanhamento</x:v>
      </x:c>
      <x:c r="C16" s="13" t="str">
        <x:v>Batatas assadas</x:v>
      </x:c>
      <x:c r="D16" s="13" t="str">
        <x:v>porção</x:v>
      </x:c>
      <x:c r="E16" s="20" t="n">
        <x:v>11.99</x:v>
      </x:c>
      <x:c r="F16" s="13" t="str">
        <x:v>SIM</x:v>
      </x:c>
      <x:c r="G16" s="13" t="str"/>
    </x:row>
    <x:row r="17">
      <x:c r="A17" s="13" t="str">
        <x:v>AC003</x:v>
      </x:c>
      <x:c r="B17" s="13" t="str">
        <x:v>Acompanhamento</x:v>
      </x:c>
      <x:c r="C17" s="13" t="str">
        <x:v>Baião de dois</x:v>
      </x:c>
      <x:c r="D17" s="13" t="str">
        <x:v>porção</x:v>
      </x:c>
      <x:c r="E17" s="20" t="n">
        <x:v>12</x:v>
      </x:c>
      <x:c r="F17" s="13" t="str">
        <x:v>SIM</x:v>
      </x:c>
      <x:c r="G17" s="13" t="str"/>
    </x:row>
    <x:row r="18">
      <x:c r="A18" s="13" t="str">
        <x:v>BA001</x:v>
      </x:c>
      <x:c r="B18" s="13" t="str">
        <x:v>Bebidas alcoólicas</x:v>
      </x:c>
      <x:c r="C18" s="13" t="str">
        <x:v>Cerveja Brahma</x:v>
      </x:c>
      <x:c r="D18" s="13" t="str">
        <x:v>unidade</x:v>
      </x:c>
      <x:c r="E18" s="20" t="n">
        <x:v>6</x:v>
      </x:c>
      <x:c r="F18" s="13" t="str">
        <x:v>SIM</x:v>
      </x:c>
      <x:c r="G18" s="13" t="str"/>
    </x:row>
    <x:row r="19">
      <x:c r="A19" s="13" t="str">
        <x:v>BA002</x:v>
      </x:c>
      <x:c r="B19" s="13" t="str">
        <x:v>Bebidas alcoólicas</x:v>
      </x:c>
      <x:c r="C19" s="13" t="str">
        <x:v>Cerveja Original</x:v>
      </x:c>
      <x:c r="D19" s="13" t="str">
        <x:v>unidade</x:v>
      </x:c>
      <x:c r="E19" s="20" t="n">
        <x:v>6</x:v>
      </x:c>
      <x:c r="F19" s="13" t="str">
        <x:v>SIM</x:v>
      </x:c>
      <x:c r="G19" s="13" t="str"/>
    </x:row>
    <x:row r="20">
      <x:c r="A20" s="13" t="str">
        <x:v>BA003</x:v>
      </x:c>
      <x:c r="B20" s="13" t="str">
        <x:v>Bebidas alcoólicas</x:v>
      </x:c>
      <x:c r="C20" s="13" t="str">
        <x:v>Cerveja Heineken</x:v>
      </x:c>
      <x:c r="D20" s="13" t="str">
        <x:v>unidade</x:v>
      </x:c>
      <x:c r="E20" s="20" t="n">
        <x:v>7</x:v>
      </x:c>
      <x:c r="F20" s="13" t="str">
        <x:v>SIM</x:v>
      </x:c>
      <x:c r="G20" s="13" t="str"/>
    </x:row>
    <x:row r="21">
      <x:c r="A21" s="13" t="str">
        <x:v>BA004</x:v>
      </x:c>
      <x:c r="B21" s="13" t="str">
        <x:v>Bebidas alcoólicas</x:v>
      </x:c>
      <x:c r="C21" s="13" t="str">
        <x:v>Cerveja Budweiser</x:v>
      </x:c>
      <x:c r="D21" s="13" t="str">
        <x:v>unidade</x:v>
      </x:c>
      <x:c r="E21" s="20" t="n">
        <x:v>6</x:v>
      </x:c>
      <x:c r="F21" s="13" t="str">
        <x:v>SIM</x:v>
      </x:c>
      <x:c r="G21" s="13" t="str"/>
    </x:row>
    <x:row r="22">
      <x:c r="A22" s="13" t="str">
        <x:v>BA005</x:v>
      </x:c>
      <x:c r="B22" s="13" t="str">
        <x:v>Bebidas alcoólicas</x:v>
      </x:c>
      <x:c r="C22" s="13" t="str">
        <x:v>Cerveja Skol</x:v>
      </x:c>
      <x:c r="D22" s="13" t="str">
        <x:v>unidade</x:v>
      </x:c>
      <x:c r="E22" s="20" t="n">
        <x:v>5</x:v>
      </x:c>
      <x:c r="F22" s="13" t="str">
        <x:v>SIM</x:v>
      </x:c>
      <x:c r="G22" s="13" t="str"/>
    </x:row>
    <x:row r="23">
      <x:c r="A23" s="13" t="str">
        <x:v>BA006</x:v>
      </x:c>
      <x:c r="B23" s="13" t="str">
        <x:v>Bebidas alcoólicas</x:v>
      </x:c>
      <x:c r="C23" s="13" t="str">
        <x:v>Cerveja Brahma Zero</x:v>
      </x:c>
      <x:c r="D23" s="13" t="str">
        <x:v>unidade</x:v>
      </x:c>
      <x:c r="E23" s="20" t="n">
        <x:v>6</x:v>
      </x:c>
      <x:c r="F23" s="13" t="str">
        <x:v>SIM</x:v>
      </x:c>
      <x:c r="G23" s="13" t="str"/>
    </x:row>
    <x:row r="24">
      <x:c r="A24" s="13" t="str">
        <x:v>BA007</x:v>
      </x:c>
      <x:c r="B24" s="13" t="str">
        <x:v>Bebidas alcoólicas</x:v>
      </x:c>
      <x:c r="C24" s="13" t="str">
        <x:v>Cerveja Império</x:v>
      </x:c>
      <x:c r="D24" s="13" t="str">
        <x:v>unidade</x:v>
      </x:c>
      <x:c r="E24" s="20" t="n">
        <x:v>5</x:v>
      </x:c>
      <x:c r="F24" s="13" t="str">
        <x:v>SIM</x:v>
      </x:c>
      <x:c r="G24" s="13" t="str"/>
    </x:row>
    <x:row r="25">
      <x:c r="A25" s="13" t="str">
        <x:v>BA008</x:v>
      </x:c>
      <x:c r="B25" s="13" t="str">
        <x:v>Bebidas alcoólicas</x:v>
      </x:c>
      <x:c r="C25" s="13" t="str">
        <x:v>Cerveja Original 350ml</x:v>
      </x:c>
      <x:c r="D25" s="13" t="str">
        <x:v>350ml</x:v>
      </x:c>
      <x:c r="E25" s="20" t="n">
        <x:v>7</x:v>
      </x:c>
      <x:c r="F25" s="13" t="str">
        <x:v>SIM</x:v>
      </x:c>
      <x:c r="G25" s="13" t="str"/>
    </x:row>
    <x:row r="26">
      <x:c r="A26" s="13" t="str">
        <x:v>BN001</x:v>
      </x:c>
      <x:c r="B26" s="13" t="str">
        <x:v>Bebidas não alcoólicas</x:v>
      </x:c>
      <x:c r="C26" s="13" t="str">
        <x:v>Coca Cola Lata</x:v>
      </x:c>
      <x:c r="D26" s="13" t="str">
        <x:v>lata</x:v>
      </x:c>
      <x:c r="E26" s="20" t="n">
        <x:v>6</x:v>
      </x:c>
      <x:c r="F26" s="13" t="str">
        <x:v>SIM</x:v>
      </x:c>
      <x:c r="G26" s="13" t="str"/>
    </x:row>
    <x:row r="27">
      <x:c r="A27" s="13" t="str">
        <x:v>BN002</x:v>
      </x:c>
      <x:c r="B27" s="13" t="str">
        <x:v>Bebidas não alcoólicas</x:v>
      </x:c>
      <x:c r="C27" s="13" t="str">
        <x:v>Coca Cola Zero Lata</x:v>
      </x:c>
      <x:c r="D27" s="13" t="str">
        <x:v>lata</x:v>
      </x:c>
      <x:c r="E27" s="20" t="n">
        <x:v>6</x:v>
      </x:c>
      <x:c r="F27" s="13" t="str">
        <x:v>SIM</x:v>
      </x:c>
      <x:c r="G27" s="13" t="str"/>
    </x:row>
    <x:row r="28">
      <x:c r="A28" s="13" t="str">
        <x:v>BN003</x:v>
      </x:c>
      <x:c r="B28" s="13" t="str">
        <x:v>Bebidas não alcoólicas</x:v>
      </x:c>
      <x:c r="C28" s="13" t="str">
        <x:v>Fanta Laranja Lata</x:v>
      </x:c>
      <x:c r="D28" s="13" t="str">
        <x:v>lata</x:v>
      </x:c>
      <x:c r="E28" s="20" t="n">
        <x:v>5</x:v>
      </x:c>
      <x:c r="F28" s="13" t="str">
        <x:v>SIM</x:v>
      </x:c>
      <x:c r="G28" s="13" t="str"/>
    </x:row>
    <x:row r="29">
      <x:c r="A29" s="13" t="str">
        <x:v>BN004</x:v>
      </x:c>
      <x:c r="B29" s="13" t="str">
        <x:v>Bebidas não alcoólicas</x:v>
      </x:c>
      <x:c r="C29" s="13" t="str">
        <x:v>Fanta Uva Lata</x:v>
      </x:c>
      <x:c r="D29" s="13" t="str">
        <x:v>lata</x:v>
      </x:c>
      <x:c r="E29" s="20" t="n">
        <x:v>5</x:v>
      </x:c>
      <x:c r="F29" s="13" t="str">
        <x:v>SIM</x:v>
      </x:c>
      <x:c r="G29" s="13" t="str"/>
    </x:row>
    <x:row r="30">
      <x:c r="A30" s="13" t="str">
        <x:v>BN005</x:v>
      </x:c>
      <x:c r="B30" s="13" t="str">
        <x:v>Bebidas não alcoólicas</x:v>
      </x:c>
      <x:c r="C30" s="13" t="str">
        <x:v>Guaraná Antarctica Lata</x:v>
      </x:c>
      <x:c r="D30" s="13" t="str">
        <x:v>lata</x:v>
      </x:c>
      <x:c r="E30" s="20" t="n">
        <x:v>5</x:v>
      </x:c>
      <x:c r="F30" s="13" t="str">
        <x:v>SIM</x:v>
      </x:c>
      <x:c r="G30" s="13" t="str"/>
    </x:row>
    <x:row r="31">
      <x:c r="A31" s="13" t="str">
        <x:v>BN006</x:v>
      </x:c>
      <x:c r="B31" s="13" t="str">
        <x:v>Bebidas não alcoólicas</x:v>
      </x:c>
      <x:c r="C31" s="13" t="str">
        <x:v>Itubaína Lata</x:v>
      </x:c>
      <x:c r="D31" s="13" t="str">
        <x:v>lata</x:v>
      </x:c>
      <x:c r="E31" s="20" t="n">
        <x:v>5</x:v>
      </x:c>
      <x:c r="F31" s="13" t="str">
        <x:v>SIM</x:v>
      </x:c>
      <x:c r="G31" s="13" t="str"/>
    </x:row>
    <x:row r="32">
      <x:c r="A32" s="13" t="str">
        <x:v>BN007</x:v>
      </x:c>
      <x:c r="B32" s="13" t="str">
        <x:v>Bebidas não alcoólicas</x:v>
      </x:c>
      <x:c r="C32" s="13" t="str">
        <x:v>Coca Cola 2L</x:v>
      </x:c>
      <x:c r="D32" s="13" t="str">
        <x:v>2L</x:v>
      </x:c>
      <x:c r="E32" s="20" t="n">
        <x:v>16</x:v>
      </x:c>
      <x:c r="F32" s="13" t="str">
        <x:v>SIM</x:v>
      </x:c>
      <x:c r="G32" s="13" t="str"/>
    </x:row>
    <x:row r="33">
      <x:c r="A33" s="13" t="str">
        <x:v>BN008</x:v>
      </x:c>
      <x:c r="B33" s="13" t="str">
        <x:v>Bebidas não alcoólicas</x:v>
      </x:c>
      <x:c r="C33" s="13" t="str">
        <x:v>Guaraná Antarctica 2L</x:v>
      </x:c>
      <x:c r="D33" s="13" t="str">
        <x:v>2L</x:v>
      </x:c>
      <x:c r="E33" s="20" t="n">
        <x:v>14</x:v>
      </x:c>
      <x:c r="F33" s="13" t="str">
        <x:v>SIM</x:v>
      </x:c>
      <x:c r="G33" s="13" t="str"/>
    </x:row>
    <x:row r="34">
      <x:c r="A34" s="13" t="str">
        <x:v>BN009</x:v>
      </x:c>
      <x:c r="B34" s="13" t="str">
        <x:v>Bebidas não alcoólicas</x:v>
      </x:c>
      <x:c r="C34" s="13" t="str">
        <x:v>Fanta Laranja 2L</x:v>
      </x:c>
      <x:c r="D34" s="13" t="str">
        <x:v>2L</x:v>
      </x:c>
      <x:c r="E34" s="20" t="n">
        <x:v>12</x:v>
      </x:c>
      <x:c r="F34" s="13" t="str">
        <x:v>SIM</x:v>
      </x:c>
      <x:c r="G34" s="13" t="str"/>
    </x:row>
    <x:row r="35">
      <x:c r="A35" s="13" t="str">
        <x:v>BN010</x:v>
      </x:c>
      <x:c r="B35" s="13" t="str">
        <x:v>Bebidas não alcoólicas</x:v>
      </x:c>
      <x:c r="C35" s="13" t="str">
        <x:v>Fanta Uva 2L</x:v>
      </x:c>
      <x:c r="D35" s="13" t="str">
        <x:v>2L</x:v>
      </x:c>
      <x:c r="E35" s="20" t="n">
        <x:v>12</x:v>
      </x:c>
      <x:c r="F35" s="13" t="str">
        <x:v>SIM</x:v>
      </x:c>
      <x:c r="G35" s="13" t="str"/>
    </x:row>
    <x:row r="36">
      <x:c r="A36" s="13" t="str">
        <x:v>BN011</x:v>
      </x:c>
      <x:c r="B36" s="13" t="str">
        <x:v>Bebidas não alcoólicas</x:v>
      </x:c>
      <x:c r="C36" s="13" t="str">
        <x:v>Soda 2L</x:v>
      </x:c>
      <x:c r="D36" s="13" t="str">
        <x:v>2L</x:v>
      </x:c>
      <x:c r="E36" s="20" t="n">
        <x:v>10</x:v>
      </x:c>
      <x:c r="F36" s="13" t="str">
        <x:v>SIM</x:v>
      </x:c>
      <x:c r="G36" s="13" t="str"/>
    </x:row>
    <x:row r="37">
      <x:c r="A37" s="13" t="str">
        <x:v>BN012</x:v>
      </x:c>
      <x:c r="B37" s="13" t="str">
        <x:v>Bebidas não alcoólicas</x:v>
      </x:c>
      <x:c r="C37" s="13" t="str">
        <x:v>H2OH! Limão</x:v>
      </x:c>
      <x:c r="D37" s="13" t="str">
        <x:v>unidade</x:v>
      </x:c>
      <x:c r="E37" s="20" t="n">
        <x:v>7</x:v>
      </x:c>
      <x:c r="F37" s="13" t="str">
        <x:v>SIM</x:v>
      </x:c>
      <x:c r="G37" s="13" t="str"/>
    </x:row>
    <x:row r="38">
      <x:c r="A38" s="13" t="str">
        <x:v>BN013</x:v>
      </x:c>
      <x:c r="B38" s="13" t="str">
        <x:v>Bebidas não alcoólicas</x:v>
      </x:c>
      <x:c r="C38" s="13" t="str">
        <x:v>H2OH! Limoneto</x:v>
      </x:c>
      <x:c r="D38" s="13" t="str">
        <x:v>unidade</x:v>
      </x:c>
      <x:c r="E38" s="20" t="n">
        <x:v>7</x:v>
      </x:c>
      <x:c r="F38" s="13" t="str">
        <x:v>SIM</x:v>
      </x:c>
      <x:c r="G38" s="13" t="str"/>
    </x:row>
    <x:row r="39">
      <x:c r="A39" s="13" t="str">
        <x:v>BN014</x:v>
      </x:c>
      <x:c r="B39" s="13" t="str">
        <x:v>Bebidas não alcoólicas</x:v>
      </x:c>
      <x:c r="C39" s="13" t="str">
        <x:v>Suco de Laranja</x:v>
      </x:c>
      <x:c r="D39" s="13" t="str">
        <x:v>unidade</x:v>
      </x:c>
      <x:c r="E39" s="20" t="n">
        <x:v>4.5</x:v>
      </x:c>
      <x:c r="F39" s="13" t="str">
        <x:v>SIM</x:v>
      </x:c>
      <x:c r="G39" s="13" t="str"/>
    </x:row>
    <x:row r="40">
      <x:c r="A40" s="13" t="str">
        <x:v>BN015</x:v>
      </x:c>
      <x:c r="B40" s="13" t="str">
        <x:v>Bebidas não alcoólicas</x:v>
      </x:c>
      <x:c r="C40" s="13" t="str">
        <x:v>Água sem gás pequena</x:v>
      </x:c>
      <x:c r="D40" s="13" t="str">
        <x:v>pequena</x:v>
      </x:c>
      <x:c r="E40" s="20" t="n">
        <x:v>3</x:v>
      </x:c>
      <x:c r="F40" s="13" t="str">
        <x:v>SIM</x:v>
      </x:c>
      <x:c r="G40" s="13" t="str"/>
    </x:row>
    <x:row r="41">
      <x:c r="A41" s="13" t="str">
        <x:v>BN016</x:v>
      </x:c>
      <x:c r="B41" s="13" t="str">
        <x:v>Bebidas não alcoólicas</x:v>
      </x:c>
      <x:c r="C41" s="13" t="str">
        <x:v>Água com gás pequena</x:v>
      </x:c>
      <x:c r="D41" s="13" t="str">
        <x:v>pequena</x:v>
      </x:c>
      <x:c r="E41" s="20" t="n">
        <x:v>3</x:v>
      </x:c>
      <x:c r="F41" s="13" t="str">
        <x:v>SIM</x:v>
      </x:c>
      <x:c r="G41" s="13" t="str"/>
    </x:row>
    <x:row r="42">
      <x:c r="A42" s="13" t="str">
        <x:v>BN017</x:v>
      </x:c>
      <x:c r="B42" s="13" t="str">
        <x:v>Bebidas não alcoólicas</x:v>
      </x:c>
      <x:c r="C42" s="13" t="str">
        <x:v>Água grande</x:v>
      </x:c>
      <x:c r="D42" s="13" t="str">
        <x:v>grande</x:v>
      </x:c>
      <x:c r="E42" s="20" t="n">
        <x:v>5</x:v>
      </x:c>
      <x:c r="F42" s="13" t="str">
        <x:v>SIM</x:v>
      </x:c>
      <x:c r="G42" s="13" t="str"/>
    </x:row>
    <x:row r="43">
      <x:c r="A43" s="13" t="str">
        <x:v>BN018</x:v>
      </x:c>
      <x:c r="B43" s="13" t="str">
        <x:v>Bebidas não alcoólicas</x:v>
      </x:c>
      <x:c r="C43" s="13" t="str">
        <x:v>Guaraná Zero Lata</x:v>
      </x:c>
      <x:c r="D43" s="13" t="str">
        <x:v>lata</x:v>
      </x:c>
      <x:c r="E43" s="20" t="n">
        <x:v>5</x:v>
      </x:c>
      <x:c r="F43" s="13" t="str">
        <x:v>SIM</x:v>
      </x:c>
      <x:c r="G43" s="13" t="str"/>
    </x:row>
    <x:row r="44">
      <x:c r="A44" s="13" t="str">
        <x:v>BN019</x:v>
      </x:c>
      <x:c r="B44" s="13" t="str">
        <x:v>Bebidas não alcoólicas</x:v>
      </x:c>
      <x:c r="C44" s="13" t="str">
        <x:v>Guaraná Zero 2L</x:v>
      </x:c>
      <x:c r="D44" s="13" t="str">
        <x:v>2L</x:v>
      </x:c>
      <x:c r="E44" s="20" t="n">
        <x:v>14</x:v>
      </x:c>
      <x:c r="F44" s="13" t="str">
        <x:v>SIM</x:v>
      </x:c>
      <x:c r="G44" s="13" t="str"/>
    </x:row>
    <x:row r="45">
      <x:c r="A45" s="13" t="str">
        <x:v>BN020</x:v>
      </x:c>
      <x:c r="B45" s="13" t="str">
        <x:v>Bebidas não alcoólicas</x:v>
      </x:c>
      <x:c r="C45" s="13" t="str">
        <x:v>Coca Cola Zero 2L</x:v>
      </x:c>
      <x:c r="D45" s="13" t="str">
        <x:v>2L</x:v>
      </x:c>
      <x:c r="E45" s="20" t="n">
        <x:v>16</x:v>
      </x:c>
      <x:c r="F45" s="13" t="str">
        <x:v>SIM</x:v>
      </x:c>
      <x:c r="G45" s="13" t="str"/>
    </x:row>
    <x:row r="46">
      <x:c r="A46" s="13" t="str">
        <x:v>BN021</x:v>
      </x:c>
      <x:c r="B46" s="13" t="str">
        <x:v>Bebidas não alcoólicas</x:v>
      </x:c>
      <x:c r="C46" s="13" t="str">
        <x:v>Suco Morango</x:v>
      </x:c>
      <x:c r="D46" s="13" t="str">
        <x:v>unidade</x:v>
      </x:c>
      <x:c r="E46" s="20" t="n">
        <x:v>4.5</x:v>
      </x:c>
      <x:c r="F46" s="13" t="str">
        <x:v>SIM</x:v>
      </x:c>
      <x:c r="G46" s="13" t="str"/>
    </x:row>
    <x:row r="47">
      <x:c r="A47" s="13" t="str">
        <x:v>BN022</x:v>
      </x:c>
      <x:c r="B47" s="13" t="str">
        <x:v>Bebidas não alcoólicas</x:v>
      </x:c>
      <x:c r="C47" s="13" t="str">
        <x:v>Jaboti</x:v>
      </x:c>
      <x:c r="D47" s="13" t="str">
        <x:v>unidade</x:v>
      </x:c>
      <x:c r="E47" s="20" t="n">
        <x:v>9</x:v>
      </x:c>
      <x:c r="F47" s="13" t="str">
        <x:v>SIM</x:v>
      </x:c>
      <x:c r="G47" s="13" t="str"/>
    </x:row>
    <x:row r="48">
      <x:c r="A48" s="13" t="str">
        <x:v>BN023</x:v>
      </x:c>
      <x:c r="B48" s="13" t="str">
        <x:v>Bebidas não alcoólicas</x:v>
      </x:c>
      <x:c r="C48" s="13" t="str">
        <x:v>Água com gás lata</x:v>
      </x:c>
      <x:c r="D48" s="13" t="str">
        <x:v>lata</x:v>
      </x:c>
      <x:c r="E48" s="20" t="n">
        <x:v>5</x:v>
      </x:c>
      <x:c r="F48" s="13" t="str">
        <x:v>SIM</x:v>
      </x:c>
      <x:c r="G48" s="13" t="str"/>
    </x:row>
    <x:row r="49">
      <x:c r="A49" s="13" t="str">
        <x:v>MP001</x:v>
      </x:c>
      <x:c r="B49" s="13" t="str">
        <x:v>Massas prontas</x:v>
      </x:c>
      <x:c r="C49" s="13" t="str">
        <x:v>Nhoque tradicional</x:v>
      </x:c>
      <x:c r="D49" s="13" t="str">
        <x:v>750g</x:v>
      </x:c>
      <x:c r="E49" s="20" t="n">
        <x:v>23.99</x:v>
      </x:c>
      <x:c r="F49" s="13" t="str">
        <x:v>SIM</x:v>
      </x:c>
      <x:c r="G49" s="13" t="str"/>
    </x:row>
    <x:row r="50">
      <x:c r="A50" s="13" t="str">
        <x:v>MP002</x:v>
      </x:c>
      <x:c r="B50" s="13" t="str">
        <x:v>Massas prontas</x:v>
      </x:c>
      <x:c r="C50" s="13" t="str">
        <x:v>Panqueca</x:v>
      </x:c>
      <x:c r="D50" s="13" t="str">
        <x:v>750g</x:v>
      </x:c>
      <x:c r="E50" s="20" t="n">
        <x:v>23.99</x:v>
      </x:c>
      <x:c r="F50" s="13" t="str">
        <x:v>SIM</x:v>
      </x:c>
      <x:c r="G50" s="13" t="str"/>
    </x:row>
    <x:row r="51">
      <x:c r="A51" s="13" t="str">
        <x:v>MPP001</x:v>
      </x:c>
      <x:c r="B51" s="13" t="str">
        <x:v>Massas pré-prontas</x:v>
      </x:c>
      <x:c r="C51" s="13" t="str">
        <x:v>Nhoque tradicional</x:v>
      </x:c>
      <x:c r="D51" s="13" t="str">
        <x:v>1kg</x:v>
      </x:c>
      <x:c r="E51" s="20" t="n">
        <x:v>23.99</x:v>
      </x:c>
      <x:c r="F51" s="13" t="str">
        <x:v>SIM</x:v>
      </x:c>
      <x:c r="G51" s="13" t="str"/>
    </x:row>
    <x:row r="52">
      <x:c r="A52" s="13" t="str">
        <x:v>MPP002</x:v>
      </x:c>
      <x:c r="B52" s="13" t="str">
        <x:v>Massas pré-prontas</x:v>
      </x:c>
      <x:c r="C52" s="13" t="str">
        <x:v>Nhoque recheado</x:v>
      </x:c>
      <x:c r="D52" s="13" t="str">
        <x:v>500g</x:v>
      </x:c>
      <x:c r="E52" s="20" t="n">
        <x:v>23.99</x:v>
      </x:c>
      <x:c r="F52" s="13" t="str">
        <x:v>SIM</x:v>
      </x:c>
      <x:c r="G52" s="13" t="str"/>
    </x:row>
    <x:row r="53">
      <x:c r="A53" s="13" t="str">
        <x:v>MPP003</x:v>
      </x:c>
      <x:c r="B53" s="13" t="str">
        <x:v>Massas pré-prontas</x:v>
      </x:c>
      <x:c r="C53" s="13" t="str">
        <x:v>Rondeli</x:v>
      </x:c>
      <x:c r="D53" s="13" t="str">
        <x:v>1kg</x:v>
      </x:c>
      <x:c r="E53" s="20" t="n">
        <x:v>39.99</x:v>
      </x:c>
      <x:c r="F53" s="13" t="str">
        <x:v>SIM</x:v>
      </x:c>
      <x:c r="G53" s="13" t="str"/>
    </x:row>
    <x:row r="54">
      <x:c r="A54" s="13" t="str">
        <x:v>MPP004</x:v>
      </x:c>
      <x:c r="B54" s="13" t="str">
        <x:v>Massas pré-prontas</x:v>
      </x:c>
      <x:c r="C54" s="13" t="str">
        <x:v>Canelone</x:v>
      </x:c>
      <x:c r="D54" s="13" t="str">
        <x:v>1kg</x:v>
      </x:c>
      <x:c r="E54" s="20" t="n">
        <x:v>39.99</x:v>
      </x:c>
      <x:c r="F54" s="13" t="str">
        <x:v>SIM</x:v>
      </x:c>
      <x:c r="G54" s="13" t="str"/>
    </x:row>
    <x:row r="55">
      <x:c r="A55" s="13" t="str">
        <x:v>MPP005</x:v>
      </x:c>
      <x:c r="B55" s="13" t="str">
        <x:v>Massas pré-prontas</x:v>
      </x:c>
      <x:c r="C55" s="13" t="str">
        <x:v>Conchiglione</x:v>
      </x:c>
      <x:c r="D55" s="13" t="str">
        <x:v>500g</x:v>
      </x:c>
      <x:c r="E55" s="20" t="n">
        <x:v>23.99</x:v>
      </x:c>
      <x:c r="F55" s="13" t="str">
        <x:v>SIM</x:v>
      </x:c>
      <x:c r="G55" s="13" t="str"/>
    </x:row>
  </x:sheetData>
  <x:conditionalFormatting sqref="F2:F55">
    <x:cfRule type="expression" dxfId="0" priority="1">
      <x:formula>F2="NÃO"</x:formula>
    </x:cfRule>
  </x:conditionalFormatting>
  <x:dataValidations count="1">
    <x:dataValidation type="list" sqref="F2:F55">
      <x:formula1>Listas!$A$2:$A$3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a2b9025438418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6" hidden="0" customWidth="1"/>
    <x:col min="4" max="4" width="24" hidden="0" customWidth="1"/>
    <x:col min="5" max="5" width="12" hidden="0" customWidth="1"/>
    <x:col min="6" max="6" width="42" hidden="0" customWidth="1"/>
  </x:cols>
  <x:sheetData>
    <x:row r="1" ht="24" customHeight="1">
      <x:c r="A1" s="6" t="str">
        <x:v>Código</x:v>
      </x:c>
      <x:c r="B1" s="6" t="str">
        <x:v>Bairro/Região</x:v>
      </x:c>
      <x:c r="C1" s="6" t="str">
        <x:v>Taxa de entrega</x:v>
      </x:c>
      <x:c r="D1" s="6" t="str">
        <x:v>Tempo estimado</x:v>
      </x:c>
      <x:c r="E1" s="6" t="str">
        <x:v>Atende?</x:v>
      </x:c>
      <x:c r="F1" s="6" t="str">
        <x:v>Observação</x:v>
      </x:c>
    </x:row>
    <x:row r="2">
      <x:c r="A2" s="13" t="str">
        <x:v>E001</x:v>
      </x:c>
      <x:c r="B2" s="13" t="str">
        <x:v>Retirada na loja</x:v>
      </x:c>
      <x:c r="C2" s="20" t="n">
        <x:v>0</x:v>
      </x:c>
      <x:c r="D2" s="13" t="str">
        <x:v>Conforme horário combinado</x:v>
      </x:c>
      <x:c r="E2" s="13" t="str">
        <x:v>SIM</x:v>
      </x:c>
      <x:c r="F2" s="13" t="str">
        <x:v>Usar quando o cliente retirar no balcão</x:v>
      </x:c>
    </x:row>
    <x:row r="3">
      <x:c r="A3" s="13" t="str">
        <x:v>E002</x:v>
      </x:c>
      <x:c r="B3" s="13" t="str">
        <x:v>Centro</x:v>
      </x:c>
      <x:c r="C3" s="20" t="n">
        <x:v>5</x:v>
      </x:c>
      <x:c r="D3" s="13" t="str">
        <x:v>30 a 40 minutos</x:v>
      </x:c>
      <x:c r="E3" s="13" t="str">
        <x:v>SIM</x:v>
      </x:c>
      <x:c r="F3" s="13" t="str">
        <x:v>Exemplo inicial; ajustar conforme a loja</x:v>
      </x:c>
    </x:row>
    <x:row r="4">
      <x:c r="A4" s="13" t="str">
        <x:v>E003</x:v>
      </x:c>
      <x:c r="B4" s="13" t="str">
        <x:v>Bairro próximo</x:v>
      </x:c>
      <x:c r="C4" s="20" t="n">
        <x:v>7</x:v>
      </x:c>
      <x:c r="D4" s="13" t="str">
        <x:v>40 a 50 minutos</x:v>
      </x:c>
      <x:c r="E4" s="13" t="str">
        <x:v>SIM</x:v>
      </x:c>
      <x:c r="F4" s="13" t="str">
        <x:v>Substituir pelo nome real do bairro</x:v>
      </x:c>
    </x:row>
    <x:row r="5">
      <x:c r="A5" s="13" t="str">
        <x:v>E004</x:v>
      </x:c>
      <x:c r="B5" s="13" t="str">
        <x:v>Bairro intermediário</x:v>
      </x:c>
      <x:c r="C5" s="20" t="n">
        <x:v>10</x:v>
      </x:c>
      <x:c r="D5" s="13" t="str">
        <x:v>50 a 60 minutos</x:v>
      </x:c>
      <x:c r="E5" s="13" t="str">
        <x:v>SIM</x:v>
      </x:c>
      <x:c r="F5" s="13" t="str">
        <x:v>Substituir pelo nome real do bairro</x:v>
      </x:c>
    </x:row>
    <x:row r="6">
      <x:c r="A6" s="13" t="str">
        <x:v>E005</x:v>
      </x:c>
      <x:c r="B6" s="13" t="str">
        <x:v>Bairro distante</x:v>
      </x:c>
      <x:c r="C6" s="20" t="n">
        <x:v>15</x:v>
      </x:c>
      <x:c r="D6" s="13" t="str">
        <x:v>60 a 75 minutos</x:v>
      </x:c>
      <x:c r="E6" s="13" t="str">
        <x:v>SIM</x:v>
      </x:c>
      <x:c r="F6" s="13" t="str">
        <x:v>Substituir pelo nome real do bairro</x:v>
      </x:c>
    </x:row>
    <x:row r="7">
      <x:c r="A7" s="13" t="str">
        <x:v>E006</x:v>
      </x:c>
      <x:c r="B7" s="13" t="str">
        <x:v>Fora da área de entrega</x:v>
      </x:c>
      <x:c r="C7" s="20" t="n">
        <x:v>0</x:v>
      </x:c>
      <x:c r="D7" s="13" t="str">
        <x:v>Não atendido</x:v>
      </x:c>
      <x:c r="E7" s="13" t="str">
        <x:v>NÃO</x:v>
      </x:c>
      <x:c r="F7" s="13" t="str">
        <x:v>Usar para orientar atendimento manual</x:v>
      </x:c>
    </x:row>
  </x:sheetData>
  <x:conditionalFormatting sqref="E2:E200">
    <x:cfRule type="expression" dxfId="1" priority="1">
      <x:formula>E2="NÃO"</x:formula>
    </x:cfRule>
  </x:conditionalFormatting>
  <x:dataValidations count="1">
    <x:dataValidation type="list" sqref="E2:E200">
      <x:formula1>Listas!$A$2:$A$3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04244e2c1b4e7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6" hidden="0" customWidth="1"/>
    <x:col min="5" max="5" width="36" hidden="0" customWidth="1"/>
  </x:cols>
  <x:sheetData>
    <x:row r="1" ht="24" customHeight="1">
      <x:c r="A1" s="6" t="str">
        <x:v>Dia da semana</x:v>
      </x:c>
      <x:c r="B1" s="6" t="str">
        <x:v>Abre</x:v>
      </x:c>
      <x:c r="C1" s="6" t="str">
        <x:v>Fecha</x:v>
      </x:c>
      <x:c r="D1" s="6" t="str">
        <x:v>Aceita pedido?</x:v>
      </x:c>
      <x:c r="E1" s="6" t="str">
        <x:v>Observação</x:v>
      </x:c>
    </x:row>
    <x:row r="2">
      <x:c r="A2" s="13" t="str">
        <x:v>Segunda-feira</x:v>
      </x:c>
      <x:c r="B2" s="13" t="str">
        <x:v>00:00</x:v>
      </x:c>
      <x:c r="C2" s="13" t="str">
        <x:v>00:00</x:v>
      </x:c>
      <x:c r="D2" s="13" t="str">
        <x:v>NÃO</x:v>
      </x:c>
      <x:c r="E2" s="13" t="str">
        <x:v>Fechado</x:v>
      </x:c>
    </x:row>
    <x:row r="3">
      <x:c r="A3" s="13" t="str">
        <x:v>Terça-feira</x:v>
      </x:c>
      <x:c r="B3" s="13" t="str">
        <x:v>10:00</x:v>
      </x:c>
      <x:c r="C3" s="13" t="str">
        <x:v>14:00</x:v>
      </x:c>
      <x:c r="D3" s="13" t="str">
        <x:v>SIM</x:v>
      </x:c>
      <x:c r="E3" s="13" t="str"/>
    </x:row>
    <x:row r="4">
      <x:c r="A4" s="13" t="str">
        <x:v>Quarta-feira</x:v>
      </x:c>
      <x:c r="B4" s="13" t="str">
        <x:v>10:00</x:v>
      </x:c>
      <x:c r="C4" s="13" t="str">
        <x:v>14:00</x:v>
      </x:c>
      <x:c r="D4" s="13" t="str">
        <x:v>SIM</x:v>
      </x:c>
      <x:c r="E4" s="13" t="str"/>
    </x:row>
    <x:row r="5">
      <x:c r="A5" s="13" t="str">
        <x:v>Quinta-feira</x:v>
      </x:c>
      <x:c r="B5" s="13" t="str">
        <x:v>10:00</x:v>
      </x:c>
      <x:c r="C5" s="13" t="str">
        <x:v>14:00</x:v>
      </x:c>
      <x:c r="D5" s="13" t="str">
        <x:v>SIM</x:v>
      </x:c>
      <x:c r="E5" s="13" t="str"/>
    </x:row>
    <x:row r="6">
      <x:c r="A6" s="13" t="str">
        <x:v>Sexta-feira</x:v>
      </x:c>
      <x:c r="B6" s="13" t="str">
        <x:v>10:00</x:v>
      </x:c>
      <x:c r="C6" s="13" t="str">
        <x:v>14:00</x:v>
      </x:c>
      <x:c r="D6" s="13" t="str">
        <x:v>SIM</x:v>
      </x:c>
      <x:c r="E6" s="13" t="str"/>
    </x:row>
    <x:row r="7">
      <x:c r="A7" s="13" t="str">
        <x:v>Sábado</x:v>
      </x:c>
      <x:c r="B7" s="13" t="str">
        <x:v>10:00</x:v>
      </x:c>
      <x:c r="C7" s="13" t="str">
        <x:v>15:00</x:v>
      </x:c>
      <x:c r="D7" s="13" t="str">
        <x:v>SIM</x:v>
      </x:c>
      <x:c r="E7" s="13" t="str"/>
    </x:row>
    <x:row r="8">
      <x:c r="A8" s="13" t="str">
        <x:v>Domingo</x:v>
      </x:c>
      <x:c r="B8" s="13" t="str">
        <x:v>10:00</x:v>
      </x:c>
      <x:c r="C8" s="13" t="str">
        <x:v>15:00</x:v>
      </x:c>
      <x:c r="D8" s="13" t="str">
        <x:v>SIM</x:v>
      </x:c>
      <x:c r="E8" s="13" t="str">
        <x:v>Dia de maior demanda</x:v>
      </x:c>
    </x:row>
  </x:sheetData>
  <x:conditionalFormatting sqref="D2:D200">
    <x:cfRule type="expression" dxfId="2" priority="1">
      <x:formula>D2="NÃO"</x:formula>
    </x:cfRule>
  </x:conditionalFormatting>
  <x:dataValidations count="1">
    <x:dataValidation type="list" sqref="D2:D200">
      <x:formula1>Listas!$A$2:$A$3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b1ebcd1629476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14" hidden="0" customWidth="1"/>
    <x:col min="4" max="4" width="18" hidden="0" customWidth="1"/>
    <x:col min="5" max="5" width="48" hidden="0" customWidth="1"/>
  </x:cols>
  <x:sheetData>
    <x:row r="1" ht="24" customHeight="1">
      <x:c r="A1" s="6" t="str">
        <x:v>Código</x:v>
      </x:c>
      <x:c r="B1" s="6" t="str">
        <x:v>Forma de pagamento</x:v>
      </x:c>
      <x:c r="C1" s="6" t="str">
        <x:v>Disponível</x:v>
      </x:c>
      <x:c r="D1" s="6" t="str">
        <x:v>Perguntar troco?</x:v>
      </x:c>
      <x:c r="E1" s="6" t="str">
        <x:v>Observação</x:v>
      </x:c>
    </x:row>
    <x:row r="2">
      <x:c r="A2" s="13" t="str">
        <x:v>P001</x:v>
      </x:c>
      <x:c r="B2" s="13" t="str">
        <x:v>Pix</x:v>
      </x:c>
      <x:c r="C2" s="13" t="str">
        <x:v>SIM</x:v>
      </x:c>
      <x:c r="D2" s="13" t="str">
        <x:v>NÃO</x:v>
      </x:c>
      <x:c r="E2" s="13" t="str">
        <x:v>Enviar chave Pix cadastrada na aba Configuracoes</x:v>
      </x:c>
    </x:row>
    <x:row r="3">
      <x:c r="A3" s="13" t="str">
        <x:v>P002</x:v>
      </x:c>
      <x:c r="B3" s="13" t="str">
        <x:v>Cartão de débito</x:v>
      </x:c>
      <x:c r="C3" s="13" t="str">
        <x:v>SIM</x:v>
      </x:c>
      <x:c r="D3" s="13" t="str">
        <x:v>NÃO</x:v>
      </x:c>
      <x:c r="E3" s="13" t="str">
        <x:v>Pagamento na entrega/retirada</x:v>
      </x:c>
    </x:row>
    <x:row r="4">
      <x:c r="A4" s="13" t="str">
        <x:v>P003</x:v>
      </x:c>
      <x:c r="B4" s="13" t="str">
        <x:v>Cartão de crédito</x:v>
      </x:c>
      <x:c r="C4" s="13" t="str">
        <x:v>SIM</x:v>
      </x:c>
      <x:c r="D4" s="13" t="str">
        <x:v>NÃO</x:v>
      </x:c>
      <x:c r="E4" s="13" t="str">
        <x:v>Pagamento na entrega/retirada</x:v>
      </x:c>
    </x:row>
    <x:row r="5">
      <x:c r="A5" s="13" t="str">
        <x:v>P004</x:v>
      </x:c>
      <x:c r="B5" s="13" t="str">
        <x:v>Dinheiro</x:v>
      </x:c>
      <x:c r="C5" s="13" t="str">
        <x:v>SIM</x:v>
      </x:c>
      <x:c r="D5" s="13" t="str">
        <x:v>SIM</x:v>
      </x:c>
      <x:c r="E5" s="13" t="str">
        <x:v>Perguntar se precisa de troco</x:v>
      </x:c>
    </x:row>
    <x:row r="6">
      <x:c r="A6" s="13" t="str">
        <x:v>P005</x:v>
      </x:c>
      <x:c r="B6" s="13" t="str">
        <x:v>Vale-refeição / benefício</x:v>
      </x:c>
      <x:c r="C6" s="13" t="str">
        <x:v>NÃO</x:v>
      </x:c>
      <x:c r="D6" s="13" t="str">
        <x:v>NÃO</x:v>
      </x:c>
      <x:c r="E6" s="13" t="str">
        <x:v>Ativar se a loja aceitar</x:v>
      </x:c>
    </x:row>
  </x:sheetData>
  <x:conditionalFormatting sqref="C2:C200">
    <x:cfRule type="expression" dxfId="3" priority="1">
      <x:formula>C2="NÃO"</x:formula>
    </x:cfRule>
  </x:conditionalFormatting>
  <x:dataValidations count="2">
    <x:dataValidation type="list" sqref="C2:C200">
      <x:formula1>Listas!$A$2:$A$3</x:formula1>
    </x:dataValidation>
    <x:dataValidation type="list" sqref="D2:D200">
      <x:formula1>Listas!$A$2:$A$3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0176305383460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 ht="24" customHeight="1">
      <x:c r="A1" s="6" t="str">
        <x:v>Chave</x:v>
      </x:c>
      <x:c r="B1" s="6" t="str">
        <x:v>Mensagem</x:v>
      </x:c>
    </x:row>
    <x:row r="2">
      <x:c r="A2" s="13" t="str">
        <x:v>saudacao</x:v>
      </x:c>
      <x:c r="B2" s="13" t="str">
        <x:v>Olá! Bem-vindo à Casa dos Assados JMD. Como podemos ajudar?</x:v>
      </x:c>
    </x:row>
    <x:row r="3">
      <x:c r="A3" s="13" t="str">
        <x:v>menu_principal</x:v>
      </x:c>
      <x:c r="B3" s="13" t="str">
        <x:v>Escolha uma opção:
1 - Ver cardápio
2 - Fazer pedido
3 - Consultar horário
4 - Falar com atendente</x:v>
      </x:c>
    </x:row>
    <x:row r="4">
      <x:c r="A4" s="13" t="str">
        <x:v>cardapio_intro</x:v>
      </x:c>
      <x:c r="B4" s="13" t="str">
        <x:v>Segue nosso cardápio. Digite o código do item que deseja adicionar ao pedido.</x:v>
      </x:c>
    </x:row>
    <x:row r="5">
      <x:c r="A5" s="13" t="str">
        <x:v>produto_indisponivel</x:v>
      </x:c>
      <x:c r="B5" s="13" t="str">
        <x:v>Este item está indisponível no momento. Por favor, escolha outro produto.</x:v>
      </x:c>
    </x:row>
    <x:row r="6">
      <x:c r="A6" s="13" t="str">
        <x:v>pedir_quantidade</x:v>
      </x:c>
      <x:c r="B6" s="13" t="str">
        <x:v>Digite a quantidade desejada.</x:v>
      </x:c>
    </x:row>
    <x:row r="7">
      <x:c r="A7" s="13" t="str">
        <x:v>perguntar_mais_itens</x:v>
      </x:c>
      <x:c r="B7" s="13" t="str">
        <x:v>Deseja adicionar mais algum item?
1 - Sim
2 - Não</x:v>
      </x:c>
    </x:row>
    <x:row r="8">
      <x:c r="A8" s="13" t="str">
        <x:v>tipo_entrega</x:v>
      </x:c>
      <x:c r="B8" s="13" t="str">
        <x:v>Como deseja receber o pedido?
1 - Retirar na loja
2 - Entrega</x:v>
      </x:c>
    </x:row>
    <x:row r="9">
      <x:c r="A9" s="13" t="str">
        <x:v>pedir_bairro</x:v>
      </x:c>
      <x:c r="B9" s="13" t="str">
        <x:v>Informe o bairro para calcularmos a taxa de entrega.</x:v>
      </x:c>
    </x:row>
    <x:row r="10">
      <x:c r="A10" s="13" t="str">
        <x:v>entrega_nao_atendida</x:v>
      </x:c>
      <x:c r="B10" s="13" t="str">
        <x:v>No momento não atendemos essa região. Deseja retirar na loja ou falar com atendente?</x:v>
      </x:c>
    </x:row>
    <x:row r="11">
      <x:c r="A11" s="13" t="str">
        <x:v>pedir_endereco</x:v>
      </x:c>
      <x:c r="B11" s="13" t="str">
        <x:v>Informe o endereço completo, com rua, número, bairro e ponto de referência.</x:v>
      </x:c>
    </x:row>
    <x:row r="12">
      <x:c r="A12" s="13" t="str">
        <x:v>forma_pagamento</x:v>
      </x:c>
      <x:c r="B12" s="13" t="str">
        <x:v>Escolha a forma de pagamento:
1 - Pix
2 - Cartão de débito
3 - Cartão de crédito
4 - Dinheiro</x:v>
      </x:c>
    </x:row>
    <x:row r="13">
      <x:c r="A13" s="13" t="str">
        <x:v>perguntar_troco</x:v>
      </x:c>
      <x:c r="B13" s="13" t="str">
        <x:v>Precisa de troco? Se sim, informe para qual valor.</x:v>
      </x:c>
    </x:row>
    <x:row r="14">
      <x:c r="A14" s="13" t="str">
        <x:v>confirmacao_pedido</x:v>
      </x:c>
      <x:c r="B14" s="13" t="str">
        <x:v>Confira o resumo do pedido. Para confirmar, digite 1. Para cancelar, digite 2.</x:v>
      </x:c>
    </x:row>
    <x:row r="15">
      <x:c r="A15" s="13" t="str">
        <x:v>pedido_confirmado</x:v>
      </x:c>
      <x:c r="B15" s="13" t="str">
        <x:v>Pedido confirmado com sucesso! A loja já recebeu sua solicitação.</x:v>
      </x:c>
    </x:row>
    <x:row r="16">
      <x:c r="A16" s="13" t="str">
        <x:v>pedido_cancelado</x:v>
      </x:c>
      <x:c r="B16" s="13" t="str">
        <x:v>Pedido cancelado. Para iniciar novamente, envie: menu</x:v>
      </x:c>
    </x:row>
    <x:row r="17">
      <x:c r="A17" s="13" t="str">
        <x:v>loja_fechada</x:v>
      </x:c>
      <x:c r="B17" s="13" t="str">
        <x:v>No momento estamos fechados. Confira nosso horário de funcionamento.</x:v>
      </x:c>
    </x:row>
    <x:row r="18">
      <x:c r="A18" s="13" t="str">
        <x:v>falar_atendente</x:v>
      </x:c>
      <x:c r="B18" s="13" t="str">
        <x:v>Certo. Um atendente irá continuar o atendimento.</x:v>
      </x:c>
    </x:row>
    <x:row r="19">
      <x:c r="A19" s="13" t="str">
        <x:v>erro_opcao</x:v>
      </x:c>
      <x:c r="B19" s="13" t="str">
        <x:v>Opção inválida. Digite uma das opções do menu.</x:v>
      </x:c>
    </x:row>
  </x:sheetData>
  <x:pageMargins left="0.7" right="0.7" top="0.75" bottom="0.75" header="0.3" footer="0.3"/>
  <x:tableParts count="1">
    <x:tablePart xmlns:r="http://schemas.openxmlformats.org/officeDocument/2006/relationships" r:id="Rf6da28fe5edc40c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52" hidden="0" customWidth="1"/>
    <x:col min="4" max="4" width="14" hidden="0" customWidth="1"/>
    <x:col min="5" max="5" width="14" hidden="0" customWidth="1"/>
    <x:col min="6" max="6" width="36" hidden="0" customWidth="1"/>
  </x:cols>
  <x:sheetData>
    <x:row r="1" ht="24" customHeight="1">
      <x:c r="A1" s="6" t="str">
        <x:v>Código</x:v>
      </x:c>
      <x:c r="B1" s="6" t="str">
        <x:v>Nome do combo</x:v>
      </x:c>
      <x:c r="C1" s="6" t="str">
        <x:v>Itens sugeridos</x:v>
      </x:c>
      <x:c r="D1" s="6" t="str">
        <x:v>Preço</x:v>
      </x:c>
      <x:c r="E1" s="6" t="str">
        <x:v>Disponível</x:v>
      </x:c>
      <x:c r="F1" s="6" t="str">
        <x:v>Observação</x:v>
      </x:c>
    </x:row>
    <x:row r="2">
      <x:c r="A2" s="13" t="str">
        <x:v>C001</x:v>
      </x:c>
      <x:c r="B2" s="13" t="str">
        <x:v>Combo Frango</x:v>
      </x:c>
      <x:c r="C2" s="13" t="str">
        <x:v>Frango + Maionese + Farofa tradicional</x:v>
      </x:c>
      <x:c r="D2" s="20" t="n">
        <x:v>89.9</x:v>
      </x:c>
      <x:c r="E2" s="13" t="str">
        <x:v>SIM</x:v>
      </x:c>
      <x:c r="F2" s="13" t="str">
        <x:v>Preço sugerido com desconto</x:v>
      </x:c>
    </x:row>
    <x:row r="3">
      <x:c r="A3" s="13" t="str">
        <x:v>C002</x:v>
      </x:c>
      <x:c r="B3" s="13" t="str">
        <x:v>Combo Costela</x:v>
      </x:c>
      <x:c r="C3" s="13" t="str">
        <x:v>Costela 500g + Arroz + Coca Cola 2L</x:v>
      </x:c>
      <x:c r="D3" s="20" t="n">
        <x:v>84.9</x:v>
      </x:c>
      <x:c r="E3" s="13" t="str">
        <x:v>SIM</x:v>
      </x:c>
      <x:c r="F3" s="13" t="str">
        <x:v>Preço sugerido com desconto</x:v>
      </x:c>
    </x:row>
    <x:row r="4">
      <x:c r="A4" s="13" t="str">
        <x:v>C003</x:v>
      </x:c>
      <x:c r="B4" s="13" t="str">
        <x:v>Combo Família</x:v>
      </x:c>
      <x:c r="C4" s="13" t="str">
        <x:v>Frango + Batatas assadas + Farofa tradicional + Guaraná Antarctica 2L</x:v>
      </x:c>
      <x:c r="D4" s="20" t="n">
        <x:v>94.9</x:v>
      </x:c>
      <x:c r="E4" s="13" t="str">
        <x:v>SIM</x:v>
      </x:c>
      <x:c r="F4" s="13" t="str">
        <x:v>Adequado para almoço de família</x:v>
      </x:c>
    </x:row>
    <x:row r="5">
      <x:c r="A5" s="13" t="str">
        <x:v>C004</x:v>
      </x:c>
      <x:c r="B5" s="13" t="str">
        <x:v>Combo Massa</x:v>
      </x:c>
      <x:c r="C5" s="13" t="str">
        <x:v>Nhoque tradicional 750g + Coca Cola 2L</x:v>
      </x:c>
      <x:c r="D5" s="20" t="n">
        <x:v>37.9</x:v>
      </x:c>
      <x:c r="E5" s="13" t="str">
        <x:v>SIM</x:v>
      </x:c>
      <x:c r="F5" s="13" t="str">
        <x:v>Preço sugerido</x:v>
      </x:c>
    </x:row>
  </x:sheetData>
  <x:conditionalFormatting sqref="E2:E200">
    <x:cfRule type="expression" dxfId="4" priority="1">
      <x:formula>E2="NÃO"</x:formula>
    </x:cfRule>
  </x:conditionalFormatting>
  <x:dataValidations count="1">
    <x:dataValidation type="list" sqref="E2:E200">
      <x:formula1>Listas!$A$2:$A$3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becb0867514db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4" hidden="0" customWidth="1"/>
    <x:col min="3" max="3" width="68" hidden="0" customWidth="1"/>
  </x:cols>
  <x:sheetData>
    <x:row r="1" ht="24" customHeight="1">
      <x:c r="A1" s="6" t="str">
        <x:v>Campo</x:v>
      </x:c>
      <x:c r="B1" s="6" t="str">
        <x:v>Valor</x:v>
      </x:c>
      <x:c r="C1" s="6" t="str">
        <x:v>Observação</x:v>
      </x:c>
    </x:row>
    <x:row r="2">
      <x:c r="A2" s="13" t="str">
        <x:v>nome_loja</x:v>
      </x:c>
      <x:c r="B2" s="13" t="str">
        <x:v>Casa dos Assados JMD</x:v>
      </x:c>
      <x:c r="C2" s="13" t="str">
        <x:v>Nome exibido nas mensagens</x:v>
      </x:c>
    </x:row>
    <x:row r="3">
      <x:c r="A3" s="13" t="str">
        <x:v>endereco_loja</x:v>
      </x:c>
      <x:c r="B3" s="13" t="str">
        <x:v>PREENCHER</x:v>
      </x:c>
      <x:c r="C3" s="13" t="str">
        <x:v>Endereço completo da loja</x:v>
      </x:c>
    </x:row>
    <x:row r="4">
      <x:c r="A4" s="13" t="str">
        <x:v>telefone_atendente</x:v>
      </x:c>
      <x:c r="B4" s="13" t="str">
        <x:v>5511999999999</x:v>
      </x:c>
      <x:c r="C4" s="13" t="str">
        <x:v>Número do atendente com DDI e DDD</x:v>
      </x:c>
    </x:row>
    <x:row r="5">
      <x:c r="A5" s="13" t="str">
        <x:v>chave_pix</x:v>
      </x:c>
      <x:c r="B5" s="13" t="str">
        <x:v>PREENCHER</x:v>
      </x:c>
      <x:c r="C5" s="13" t="str">
        <x:v>Chave Pix enviada quando a forma de pagamento for Pix</x:v>
      </x:c>
    </x:row>
    <x:row r="6">
      <x:c r="A6" s="13" t="str">
        <x:v>aceita_entrega</x:v>
      </x:c>
      <x:c r="B6" s="13" t="str">
        <x:v>SIM</x:v>
      </x:c>
      <x:c r="C6" s="13" t="str">
        <x:v>Use SIM ou NÃO</x:v>
      </x:c>
    </x:row>
    <x:row r="7">
      <x:c r="A7" s="13" t="str">
        <x:v>aceita_retirada</x:v>
      </x:c>
      <x:c r="B7" s="13" t="str">
        <x:v>SIM</x:v>
      </x:c>
      <x:c r="C7" s="13" t="str">
        <x:v>Use SIM ou NÃO</x:v>
      </x:c>
    </x:row>
    <x:row r="8">
      <x:c r="A8" s="13" t="str">
        <x:v>tempo_padrao_retirada</x:v>
      </x:c>
      <x:c r="B8" s="13" t="str">
        <x:v>30 minutos</x:v>
      </x:c>
      <x:c r="C8" s="13" t="str">
        <x:v>Tempo informado para retirada</x:v>
      </x:c>
    </x:row>
    <x:row r="9">
      <x:c r="A9" s="13" t="str">
        <x:v>valor_minimo_entrega</x:v>
      </x:c>
      <x:c r="B9" s="13" t="n">
        <x:v>0</x:v>
      </x:c>
      <x:c r="C9" s="13" t="str">
        <x:v>Valor mínimo para entrega, se houver</x:v>
      </x:c>
    </x:row>
    <x:row r="10">
      <x:c r="A10" s="13" t="str">
        <x:v>taxa_servico</x:v>
      </x:c>
      <x:c r="B10" s="13" t="n">
        <x:v>0</x:v>
      </x:c>
      <x:c r="C10" s="13" t="str">
        <x:v>Use 0 se não houver taxa</x:v>
      </x:c>
    </x:row>
    <x:row r="11">
      <x:c r="A11" s="13" t="str">
        <x:v>permitir_pedido_fora_horario</x:v>
      </x:c>
      <x:c r="B11" s="13" t="str">
        <x:v>NÃO</x:v>
      </x:c>
      <x:c r="C11" s="13" t="str">
        <x:v>Se SIM, o bot aceita pedidos mesmo fora do horário</x:v>
      </x:c>
    </x:row>
    <x:row r="12">
      <x:c r="A12" s="13" t="str">
        <x:v>notificar_atendente</x:v>
      </x:c>
      <x:c r="B12" s="13" t="str">
        <x:v>SIM</x:v>
      </x:c>
      <x:c r="C12" s="13" t="str">
        <x:v>Se SIM, envia resumo do pedido ao funcionário</x:v>
      </x:c>
    </x:row>
    <x:row r="13">
      <x:c r="A13" s="13" t="str">
        <x:v>mensagem_lgpd</x:v>
      </x:c>
      <x:c r="B13" s="13" t="str">
        <x:v>Seus dados serão usados apenas para atendimento e entrega do pedido.</x:v>
      </x:c>
      <x:c r="C13" s="13" t="str">
        <x:v>Mensagem de privacidade</x:v>
      </x:c>
    </x:row>
  </x:sheetData>
  <x:pageMargins left="0.7" right="0.7" top="0.75" bottom="0.75" header="0.3" footer="0.3"/>
  <x:tableParts count="1">
    <x:tablePart xmlns:r="http://schemas.openxmlformats.org/officeDocument/2006/relationships" r:id="R0f37f23dbee544a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0" hidden="0" customWidth="1"/>
    <x:col min="4" max="4" width="24" hidden="0" customWidth="1"/>
    <x:col min="5" max="5" width="18" hidden="0" customWidth="1"/>
    <x:col min="6" max="6" width="14" hidden="0" customWidth="1"/>
    <x:col min="7" max="7" width="20" hidden="0" customWidth="1"/>
    <x:col min="8" max="8" width="36" hidden="0" customWidth="1"/>
    <x:col min="9" max="9" width="42" hidden="0" customWidth="1"/>
    <x:col min="10" max="10" width="14" hidden="0" customWidth="1"/>
    <x:col min="11" max="11" width="14" hidden="0" customWidth="1"/>
    <x:col min="12" max="12" width="14" hidden="0" customWidth="1"/>
    <x:col min="13" max="13" width="20" hidden="0" customWidth="1"/>
    <x:col min="14" max="14" width="14" hidden="0" customWidth="1"/>
    <x:col min="15" max="15" width="18" hidden="0" customWidth="1"/>
    <x:col min="16" max="16" width="38" hidden="0" customWidth="1"/>
    <x:col min="18" max="18" width="18" hidden="0" customWidth="1"/>
    <x:col min="19" max="19" width="62" hidden="0" customWidth="1"/>
  </x:cols>
  <x:sheetData>
    <x:row r="1" ht="24" customHeight="1">
      <x:c r="A1" s="6" t="str">
        <x:v>Nº Pedido</x:v>
      </x:c>
      <x:c r="B1" s="6" t="str">
        <x:v>Data</x:v>
      </x:c>
      <x:c r="C1" s="6" t="str">
        <x:v>Hora</x:v>
      </x:c>
      <x:c r="D1" s="6" t="str">
        <x:v>Cliente</x:v>
      </x:c>
      <x:c r="E1" s="6" t="str">
        <x:v>Telefone</x:v>
      </x:c>
      <x:c r="F1" s="6" t="str">
        <x:v>Tipo</x:v>
      </x:c>
      <x:c r="G1" s="6" t="str">
        <x:v>Bairro</x:v>
      </x:c>
      <x:c r="H1" s="6" t="str">
        <x:v>Endereço</x:v>
      </x:c>
      <x:c r="I1" s="6" t="str">
        <x:v>Itens</x:v>
      </x:c>
      <x:c r="J1" s="6" t="str">
        <x:v>Subtotal</x:v>
      </x:c>
      <x:c r="K1" s="6" t="str">
        <x:v>Taxa entrega</x:v>
      </x:c>
      <x:c r="L1" s="6" t="str">
        <x:v>Total</x:v>
      </x:c>
      <x:c r="M1" s="6" t="str">
        <x:v>Pagamento</x:v>
      </x:c>
      <x:c r="N1" s="6" t="str">
        <x:v>Troco para</x:v>
      </x:c>
      <x:c r="O1" s="6" t="str">
        <x:v>Status</x:v>
      </x:c>
      <x:c r="P1" s="6" t="str">
        <x:v>Observação</x:v>
      </x:c>
      <x:c r="R1" s="36" t="str">
        <x:v>Orientação</x:v>
      </x:c>
      <x:c r="S1" s="12" t="str">
        <x:v>O robô deve copiar esta estrutura para gerar um arquivo diário: pedidos_DD-MM-AAAA.xlsx.</x:v>
      </x:c>
    </x:row>
    <x:row r="2">
      <x:c r="A2" s="13" t="str">
        <x:v>0001</x:v>
      </x:c>
      <x:c r="B2" s="13" t="str">
        <x:v>04/06/2026</x:v>
      </x:c>
      <x:c r="C2" s="13" t="str">
        <x:v>11:20</x:v>
      </x:c>
      <x:c r="D2" s="13" t="str">
        <x:v>Cliente Exemplo</x:v>
      </x:c>
      <x:c r="E2" s="13" t="str">
        <x:v>5511999999999</x:v>
      </x:c>
      <x:c r="F2" s="13" t="str">
        <x:v>Entrega</x:v>
      </x:c>
      <x:c r="G2" s="13" t="str">
        <x:v>Centro</x:v>
      </x:c>
      <x:c r="H2" s="13" t="str">
        <x:v>Rua Exemplo, 123</x:v>
      </x:c>
      <x:c r="I2" s="13" t="str">
        <x:v>1x Frango; 1x Maionese</x:v>
      </x:c>
      <x:c r="J2" s="20" t="n">
        <x:v>74.98</x:v>
      </x:c>
      <x:c r="K2" s="20" t="n">
        <x:v>5</x:v>
      </x:c>
      <x:c r="L2" s="20" t="n">
        <x:v>79.98</x:v>
      </x:c>
      <x:c r="M2" s="13" t="str">
        <x:v>Pix</x:v>
      </x:c>
      <x:c r="N2" s="13" t="str"/>
      <x:c r="O2" s="13" t="str">
        <x:v>Confirmado</x:v>
      </x:c>
      <x:c r="P2" s="13" t="str">
        <x:v>Exemplo de preenchimento automático</x:v>
      </x:c>
      <x:c r="R2" s="33" t="str">
        <x:v>Aba sugerida</x:v>
      </x:c>
      <x:c r="S2" t="str">
        <x:v>Pedidos</x:v>
      </x:c>
    </x:row>
    <x:row r="3">
      <x:c r="A3" s="13" t="str">
        <x:v>0002</x:v>
      </x:c>
      <x:c r="B3" s="13" t="str">
        <x:v>04/06/2026</x:v>
      </x:c>
      <x:c r="C3" s="13" t="str">
        <x:v>11:35</x:v>
      </x:c>
      <x:c r="D3" s="13" t="str">
        <x:v>Cliente Exemplo 2</x:v>
      </x:c>
      <x:c r="E3" s="13" t="str">
        <x:v>5511988888888</x:v>
      </x:c>
      <x:c r="F3" s="13" t="str">
        <x:v>Retirada</x:v>
      </x:c>
      <x:c r="G3" s="13" t="str">
        <x:v>-</x:v>
      </x:c>
      <x:c r="H3" s="13" t="str">
        <x:v>-</x:v>
      </x:c>
      <x:c r="I3" s="13" t="str">
        <x:v>1x Costela 500g</x:v>
      </x:c>
      <x:c r="J3" s="20" t="n">
        <x:v>59.99</x:v>
      </x:c>
      <x:c r="K3" s="20" t="n">
        <x:v>0</x:v>
      </x:c>
      <x:c r="L3" s="20" t="n">
        <x:v>59.99</x:v>
      </x:c>
      <x:c r="M3" s="13" t="str">
        <x:v>Cartão de crédito</x:v>
      </x:c>
      <x:c r="N3" s="13" t="str"/>
      <x:c r="O3" s="13" t="str">
        <x:v>Em preparo</x:v>
      </x:c>
      <x:c r="P3" s="13" t="str">
        <x:v>Exemplo de retirada</x:v>
      </x:c>
      <x:c r="R3" s="33" t="str">
        <x:v>Chave do pedido</x:v>
      </x:c>
      <x:c r="S3" t="str">
        <x:v>Nº Pedido sequencial por dia.</x:v>
      </x:c>
    </x:row>
    <x:row r="4">
      <x:c r="J4" s="42"/>
      <x:c r="K4" s="42"/>
      <x:c r="L4" s="42"/>
      <x:c r="R4" s="33" t="str">
        <x:v>Status</x:v>
      </x:c>
      <x:c r="S4" t="str">
        <x:v>Recebido, Confirmado, Em preparo, Saiu para entrega, Finalizado ou Cancelado.</x:v>
      </x:c>
    </x:row>
    <x:row r="5">
      <x:c r="J5" s="42"/>
      <x:c r="K5" s="42"/>
      <x:c r="L5" s="42"/>
      <x:c r="R5" s="33" t="str">
        <x:v>Controle</x:v>
      </x:c>
      <x:c r="S5" t="str">
        <x:v>Use uma planilha por dia para facilitar fechamento de caixa.</x:v>
      </x:c>
    </x:row>
    <x:row r="6">
      <x:c r="J6" s="42"/>
      <x:c r="K6" s="42"/>
      <x:c r="L6" s="42"/>
    </x:row>
    <x:row r="7">
      <x:c r="J7" s="42"/>
      <x:c r="K7" s="42"/>
      <x:c r="L7" s="42"/>
    </x:row>
    <x:row r="8">
      <x:c r="J8" s="42"/>
      <x:c r="K8" s="42"/>
      <x:c r="L8" s="42"/>
    </x:row>
    <x:row r="9">
      <x:c r="J9" s="42"/>
      <x:c r="K9" s="42"/>
      <x:c r="L9" s="42"/>
    </x:row>
    <x:row r="10">
      <x:c r="J10" s="42"/>
      <x:c r="K10" s="42"/>
      <x:c r="L10" s="42"/>
    </x:row>
    <x:row r="11">
      <x:c r="J11" s="42"/>
      <x:c r="K11" s="42"/>
      <x:c r="L11" s="42"/>
    </x:row>
    <x:row r="12">
      <x:c r="J12" s="42"/>
      <x:c r="K12" s="42"/>
      <x:c r="L12" s="42"/>
    </x:row>
    <x:row r="13">
      <x:c r="J13" s="42"/>
      <x:c r="K13" s="42"/>
      <x:c r="L13" s="42"/>
    </x:row>
    <x:row r="14">
      <x:c r="J14" s="42"/>
      <x:c r="K14" s="42"/>
      <x:c r="L14" s="42"/>
    </x:row>
    <x:row r="15">
      <x:c r="J15" s="42"/>
      <x:c r="K15" s="42"/>
      <x:c r="L15" s="42"/>
    </x:row>
    <x:row r="16">
      <x:c r="J16" s="42"/>
      <x:c r="K16" s="42"/>
      <x:c r="L16" s="42"/>
    </x:row>
    <x:row r="17">
      <x:c r="J17" s="42"/>
      <x:c r="K17" s="42"/>
      <x:c r="L17" s="42"/>
    </x:row>
    <x:row r="18">
      <x:c r="J18" s="42"/>
      <x:c r="K18" s="42"/>
      <x:c r="L18" s="42"/>
    </x:row>
    <x:row r="19">
      <x:c r="J19" s="42"/>
      <x:c r="K19" s="42"/>
      <x:c r="L19" s="42"/>
    </x:row>
    <x:row r="20">
      <x:c r="J20" s="42"/>
      <x:c r="K20" s="42"/>
      <x:c r="L20" s="42"/>
    </x:row>
    <x:row r="21">
      <x:c r="J21" s="42"/>
      <x:c r="K21" s="42"/>
      <x:c r="L21" s="42"/>
    </x:row>
    <x:row r="22">
      <x:c r="J22" s="42"/>
      <x:c r="K22" s="42"/>
      <x:c r="L22" s="42"/>
    </x:row>
    <x:row r="23">
      <x:c r="J23" s="42"/>
      <x:c r="K23" s="42"/>
      <x:c r="L23" s="42"/>
    </x:row>
    <x:row r="24">
      <x:c r="J24" s="42"/>
      <x:c r="K24" s="42"/>
      <x:c r="L24" s="42"/>
    </x:row>
    <x:row r="25">
      <x:c r="J25" s="42"/>
      <x:c r="K25" s="42"/>
      <x:c r="L25" s="42"/>
    </x:row>
    <x:row r="26">
      <x:c r="J26" s="42"/>
      <x:c r="K26" s="42"/>
      <x:c r="L26" s="42"/>
    </x:row>
    <x:row r="27">
      <x:c r="J27" s="42"/>
      <x:c r="K27" s="42"/>
      <x:c r="L27" s="42"/>
    </x:row>
    <x:row r="28">
      <x:c r="J28" s="42"/>
      <x:c r="K28" s="42"/>
      <x:c r="L28" s="42"/>
    </x:row>
    <x:row r="29">
      <x:c r="J29" s="42"/>
      <x:c r="K29" s="42"/>
      <x:c r="L29" s="42"/>
    </x:row>
    <x:row r="30">
      <x:c r="J30" s="42"/>
      <x:c r="K30" s="42"/>
      <x:c r="L30" s="42"/>
    </x:row>
    <x:row r="31">
      <x:c r="J31" s="42"/>
      <x:c r="K31" s="42"/>
      <x:c r="L31" s="42"/>
    </x:row>
    <x:row r="32">
      <x:c r="J32" s="42"/>
      <x:c r="K32" s="42"/>
      <x:c r="L32" s="42"/>
    </x:row>
    <x:row r="33">
      <x:c r="J33" s="42"/>
      <x:c r="K33" s="42"/>
      <x:c r="L33" s="42"/>
    </x:row>
    <x:row r="34">
      <x:c r="J34" s="42"/>
      <x:c r="K34" s="42"/>
      <x:c r="L34" s="42"/>
    </x:row>
    <x:row r="35">
      <x:c r="J35" s="42"/>
      <x:c r="K35" s="42"/>
      <x:c r="L35" s="42"/>
    </x:row>
    <x:row r="36">
      <x:c r="J36" s="42"/>
      <x:c r="K36" s="42"/>
      <x:c r="L36" s="42"/>
    </x:row>
    <x:row r="37">
      <x:c r="J37" s="42"/>
      <x:c r="K37" s="42"/>
      <x:c r="L37" s="42"/>
    </x:row>
    <x:row r="38">
      <x:c r="J38" s="42"/>
      <x:c r="K38" s="42"/>
      <x:c r="L38" s="42"/>
    </x:row>
    <x:row r="39">
      <x:c r="J39" s="42"/>
      <x:c r="K39" s="42"/>
      <x:c r="L39" s="42"/>
    </x:row>
    <x:row r="40">
      <x:c r="J40" s="42"/>
      <x:c r="K40" s="42"/>
      <x:c r="L40" s="42"/>
    </x:row>
    <x:row r="41">
      <x:c r="J41" s="42"/>
      <x:c r="K41" s="42"/>
      <x:c r="L41" s="42"/>
    </x:row>
    <x:row r="42">
      <x:c r="J42" s="42"/>
      <x:c r="K42" s="42"/>
      <x:c r="L42" s="42"/>
    </x:row>
    <x:row r="43">
      <x:c r="J43" s="42"/>
      <x:c r="K43" s="42"/>
      <x:c r="L43" s="42"/>
    </x:row>
    <x:row r="44">
      <x:c r="J44" s="42"/>
      <x:c r="K44" s="42"/>
      <x:c r="L44" s="42"/>
    </x:row>
    <x:row r="45">
      <x:c r="J45" s="42"/>
      <x:c r="K45" s="42"/>
      <x:c r="L45" s="42"/>
    </x:row>
    <x:row r="46">
      <x:c r="J46" s="42"/>
      <x:c r="K46" s="42"/>
      <x:c r="L46" s="42"/>
    </x:row>
    <x:row r="47">
      <x:c r="J47" s="42"/>
      <x:c r="K47" s="42"/>
      <x:c r="L47" s="42"/>
    </x:row>
    <x:row r="48">
      <x:c r="J48" s="42"/>
      <x:c r="K48" s="42"/>
      <x:c r="L48" s="42"/>
    </x:row>
    <x:row r="49">
      <x:c r="J49" s="42"/>
      <x:c r="K49" s="42"/>
      <x:c r="L49" s="42"/>
    </x:row>
    <x:row r="50">
      <x:c r="J50" s="42"/>
      <x:c r="K50" s="42"/>
      <x:c r="L50" s="42"/>
    </x:row>
    <x:row r="51">
      <x:c r="J51" s="42"/>
      <x:c r="K51" s="42"/>
      <x:c r="L51" s="42"/>
    </x:row>
    <x:row r="52">
      <x:c r="J52" s="42"/>
      <x:c r="K52" s="42"/>
      <x:c r="L52" s="42"/>
    </x:row>
    <x:row r="53">
      <x:c r="J53" s="42"/>
      <x:c r="K53" s="42"/>
      <x:c r="L53" s="42"/>
    </x:row>
    <x:row r="54">
      <x:c r="J54" s="42"/>
      <x:c r="K54" s="42"/>
      <x:c r="L54" s="42"/>
    </x:row>
    <x:row r="55">
      <x:c r="J55" s="42"/>
      <x:c r="K55" s="42"/>
      <x:c r="L55" s="42"/>
    </x:row>
    <x:row r="56">
      <x:c r="J56" s="42"/>
      <x:c r="K56" s="42"/>
      <x:c r="L56" s="42"/>
    </x:row>
    <x:row r="57">
      <x:c r="J57" s="42"/>
      <x:c r="K57" s="42"/>
      <x:c r="L57" s="42"/>
    </x:row>
    <x:row r="58">
      <x:c r="J58" s="42"/>
      <x:c r="K58" s="42"/>
      <x:c r="L58" s="42"/>
    </x:row>
    <x:row r="59">
      <x:c r="J59" s="42"/>
      <x:c r="K59" s="42"/>
      <x:c r="L59" s="42"/>
    </x:row>
    <x:row r="60">
      <x:c r="J60" s="42"/>
      <x:c r="K60" s="42"/>
      <x:c r="L60" s="42"/>
    </x:row>
    <x:row r="61">
      <x:c r="J61" s="42"/>
      <x:c r="K61" s="42"/>
      <x:c r="L61" s="42"/>
    </x:row>
    <x:row r="62">
      <x:c r="J62" s="42"/>
      <x:c r="K62" s="42"/>
      <x:c r="L62" s="42"/>
    </x:row>
    <x:row r="63">
      <x:c r="J63" s="42"/>
      <x:c r="K63" s="42"/>
      <x:c r="L63" s="42"/>
    </x:row>
    <x:row r="64">
      <x:c r="J64" s="42"/>
      <x:c r="K64" s="42"/>
      <x:c r="L64" s="42"/>
    </x:row>
    <x:row r="65">
      <x:c r="J65" s="42"/>
      <x:c r="K65" s="42"/>
      <x:c r="L65" s="42"/>
    </x:row>
    <x:row r="66">
      <x:c r="J66" s="42"/>
      <x:c r="K66" s="42"/>
      <x:c r="L66" s="42"/>
    </x:row>
    <x:row r="67">
      <x:c r="J67" s="42"/>
      <x:c r="K67" s="42"/>
      <x:c r="L67" s="42"/>
    </x:row>
    <x:row r="68">
      <x:c r="J68" s="42"/>
      <x:c r="K68" s="42"/>
      <x:c r="L68" s="42"/>
    </x:row>
    <x:row r="69">
      <x:c r="J69" s="42"/>
      <x:c r="K69" s="42"/>
      <x:c r="L69" s="42"/>
    </x:row>
    <x:row r="70">
      <x:c r="J70" s="42"/>
      <x:c r="K70" s="42"/>
      <x:c r="L70" s="42"/>
    </x:row>
    <x:row r="71">
      <x:c r="J71" s="42"/>
      <x:c r="K71" s="42"/>
      <x:c r="L71" s="42"/>
    </x:row>
    <x:row r="72">
      <x:c r="J72" s="42"/>
      <x:c r="K72" s="42"/>
      <x:c r="L72" s="42"/>
    </x:row>
    <x:row r="73">
      <x:c r="J73" s="42"/>
      <x:c r="K73" s="42"/>
      <x:c r="L73" s="42"/>
    </x:row>
    <x:row r="74">
      <x:c r="J74" s="42"/>
      <x:c r="K74" s="42"/>
      <x:c r="L74" s="42"/>
    </x:row>
    <x:row r="75">
      <x:c r="J75" s="42"/>
      <x:c r="K75" s="42"/>
      <x:c r="L75" s="42"/>
    </x:row>
    <x:row r="76">
      <x:c r="J76" s="42"/>
      <x:c r="K76" s="42"/>
      <x:c r="L76" s="42"/>
    </x:row>
    <x:row r="77">
      <x:c r="J77" s="42"/>
      <x:c r="K77" s="42"/>
      <x:c r="L77" s="42"/>
    </x:row>
    <x:row r="78">
      <x:c r="J78" s="42"/>
      <x:c r="K78" s="42"/>
      <x:c r="L78" s="42"/>
    </x:row>
    <x:row r="79">
      <x:c r="J79" s="42"/>
      <x:c r="K79" s="42"/>
      <x:c r="L79" s="42"/>
    </x:row>
    <x:row r="80">
      <x:c r="J80" s="42"/>
      <x:c r="K80" s="42"/>
      <x:c r="L80" s="42"/>
    </x:row>
    <x:row r="81">
      <x:c r="J81" s="42"/>
      <x:c r="K81" s="42"/>
      <x:c r="L81" s="42"/>
    </x:row>
    <x:row r="82">
      <x:c r="J82" s="42"/>
      <x:c r="K82" s="42"/>
      <x:c r="L82" s="42"/>
    </x:row>
    <x:row r="83">
      <x:c r="J83" s="42"/>
      <x:c r="K83" s="42"/>
      <x:c r="L83" s="42"/>
    </x:row>
    <x:row r="84">
      <x:c r="J84" s="42"/>
      <x:c r="K84" s="42"/>
      <x:c r="L84" s="42"/>
    </x:row>
    <x:row r="85">
      <x:c r="J85" s="42"/>
      <x:c r="K85" s="42"/>
      <x:c r="L85" s="42"/>
    </x:row>
    <x:row r="86">
      <x:c r="J86" s="42"/>
      <x:c r="K86" s="42"/>
      <x:c r="L86" s="42"/>
    </x:row>
    <x:row r="87">
      <x:c r="J87" s="42"/>
      <x:c r="K87" s="42"/>
      <x:c r="L87" s="42"/>
    </x:row>
    <x:row r="88">
      <x:c r="J88" s="42"/>
      <x:c r="K88" s="42"/>
      <x:c r="L88" s="42"/>
    </x:row>
    <x:row r="89">
      <x:c r="J89" s="42"/>
      <x:c r="K89" s="42"/>
      <x:c r="L89" s="42"/>
    </x:row>
    <x:row r="90">
      <x:c r="J90" s="42"/>
      <x:c r="K90" s="42"/>
      <x:c r="L90" s="42"/>
    </x:row>
    <x:row r="91">
      <x:c r="J91" s="42"/>
      <x:c r="K91" s="42"/>
      <x:c r="L91" s="42"/>
    </x:row>
    <x:row r="92">
      <x:c r="J92" s="42"/>
      <x:c r="K92" s="42"/>
      <x:c r="L92" s="42"/>
    </x:row>
    <x:row r="93">
      <x:c r="J93" s="42"/>
      <x:c r="K93" s="42"/>
      <x:c r="L93" s="42"/>
    </x:row>
    <x:row r="94">
      <x:c r="J94" s="42"/>
      <x:c r="K94" s="42"/>
      <x:c r="L94" s="42"/>
    </x:row>
    <x:row r="95">
      <x:c r="J95" s="42"/>
      <x:c r="K95" s="42"/>
      <x:c r="L95" s="42"/>
    </x:row>
    <x:row r="96">
      <x:c r="J96" s="42"/>
      <x:c r="K96" s="42"/>
      <x:c r="L96" s="42"/>
    </x:row>
    <x:row r="97">
      <x:c r="J97" s="42"/>
      <x:c r="K97" s="42"/>
      <x:c r="L97" s="42"/>
    </x:row>
    <x:row r="98">
      <x:c r="J98" s="42"/>
      <x:c r="K98" s="42"/>
      <x:c r="L98" s="42"/>
    </x:row>
    <x:row r="99">
      <x:c r="J99" s="42"/>
      <x:c r="K99" s="42"/>
      <x:c r="L99" s="42"/>
    </x:row>
    <x:row r="100">
      <x:c r="J100" s="42"/>
      <x:c r="K100" s="42"/>
      <x:c r="L100" s="42"/>
    </x:row>
    <x:row r="101">
      <x:c r="J101" s="42"/>
      <x:c r="K101" s="42"/>
      <x:c r="L101" s="42"/>
    </x:row>
    <x:row r="102">
      <x:c r="J102" s="42"/>
      <x:c r="K102" s="42"/>
      <x:c r="L102" s="42"/>
    </x:row>
    <x:row r="103">
      <x:c r="J103" s="42"/>
      <x:c r="K103" s="42"/>
      <x:c r="L103" s="42"/>
    </x:row>
    <x:row r="104">
      <x:c r="J104" s="42"/>
      <x:c r="K104" s="42"/>
      <x:c r="L104" s="42"/>
    </x:row>
    <x:row r="105">
      <x:c r="J105" s="42"/>
      <x:c r="K105" s="42"/>
      <x:c r="L105" s="42"/>
    </x:row>
    <x:row r="106">
      <x:c r="J106" s="42"/>
      <x:c r="K106" s="42"/>
      <x:c r="L106" s="42"/>
    </x:row>
    <x:row r="107">
      <x:c r="J107" s="42"/>
      <x:c r="K107" s="42"/>
      <x:c r="L107" s="42"/>
    </x:row>
    <x:row r="108">
      <x:c r="J108" s="42"/>
      <x:c r="K108" s="42"/>
      <x:c r="L108" s="42"/>
    </x:row>
    <x:row r="109">
      <x:c r="J109" s="42"/>
      <x:c r="K109" s="42"/>
      <x:c r="L109" s="42"/>
    </x:row>
    <x:row r="110">
      <x:c r="J110" s="42"/>
      <x:c r="K110" s="42"/>
      <x:c r="L110" s="42"/>
    </x:row>
    <x:row r="111">
      <x:c r="J111" s="42"/>
      <x:c r="K111" s="42"/>
      <x:c r="L111" s="42"/>
    </x:row>
    <x:row r="112">
      <x:c r="J112" s="42"/>
      <x:c r="K112" s="42"/>
      <x:c r="L112" s="42"/>
    </x:row>
    <x:row r="113">
      <x:c r="J113" s="42"/>
      <x:c r="K113" s="42"/>
      <x:c r="L113" s="42"/>
    </x:row>
    <x:row r="114">
      <x:c r="J114" s="42"/>
      <x:c r="K114" s="42"/>
      <x:c r="L114" s="42"/>
    </x:row>
    <x:row r="115">
      <x:c r="J115" s="42"/>
      <x:c r="K115" s="42"/>
      <x:c r="L115" s="42"/>
    </x:row>
    <x:row r="116">
      <x:c r="J116" s="42"/>
      <x:c r="K116" s="42"/>
      <x:c r="L116" s="42"/>
    </x:row>
    <x:row r="117">
      <x:c r="J117" s="42"/>
      <x:c r="K117" s="42"/>
      <x:c r="L117" s="42"/>
    </x:row>
    <x:row r="118">
      <x:c r="J118" s="42"/>
      <x:c r="K118" s="42"/>
      <x:c r="L118" s="42"/>
    </x:row>
    <x:row r="119">
      <x:c r="J119" s="42"/>
      <x:c r="K119" s="42"/>
      <x:c r="L119" s="42"/>
    </x:row>
    <x:row r="120">
      <x:c r="J120" s="42"/>
      <x:c r="K120" s="42"/>
      <x:c r="L120" s="42"/>
    </x:row>
    <x:row r="121">
      <x:c r="J121" s="42"/>
      <x:c r="K121" s="42"/>
      <x:c r="L121" s="42"/>
    </x:row>
    <x:row r="122">
      <x:c r="J122" s="42"/>
      <x:c r="K122" s="42"/>
      <x:c r="L122" s="42"/>
    </x:row>
    <x:row r="123">
      <x:c r="J123" s="42"/>
      <x:c r="K123" s="42"/>
      <x:c r="L123" s="42"/>
    </x:row>
    <x:row r="124">
      <x:c r="J124" s="42"/>
      <x:c r="K124" s="42"/>
      <x:c r="L124" s="42"/>
    </x:row>
    <x:row r="125">
      <x:c r="J125" s="42"/>
      <x:c r="K125" s="42"/>
      <x:c r="L125" s="42"/>
    </x:row>
    <x:row r="126">
      <x:c r="J126" s="42"/>
      <x:c r="K126" s="42"/>
      <x:c r="L126" s="42"/>
    </x:row>
    <x:row r="127">
      <x:c r="J127" s="42"/>
      <x:c r="K127" s="42"/>
      <x:c r="L127" s="42"/>
    </x:row>
    <x:row r="128">
      <x:c r="J128" s="42"/>
      <x:c r="K128" s="42"/>
      <x:c r="L128" s="42"/>
    </x:row>
    <x:row r="129">
      <x:c r="J129" s="42"/>
      <x:c r="K129" s="42"/>
      <x:c r="L129" s="42"/>
    </x:row>
    <x:row r="130">
      <x:c r="J130" s="42"/>
      <x:c r="K130" s="42"/>
      <x:c r="L130" s="42"/>
    </x:row>
    <x:row r="131">
      <x:c r="J131" s="42"/>
      <x:c r="K131" s="42"/>
      <x:c r="L131" s="42"/>
    </x:row>
    <x:row r="132">
      <x:c r="J132" s="42"/>
      <x:c r="K132" s="42"/>
      <x:c r="L132" s="42"/>
    </x:row>
    <x:row r="133">
      <x:c r="J133" s="42"/>
      <x:c r="K133" s="42"/>
      <x:c r="L133" s="42"/>
    </x:row>
    <x:row r="134">
      <x:c r="J134" s="42"/>
      <x:c r="K134" s="42"/>
      <x:c r="L134" s="42"/>
    </x:row>
    <x:row r="135">
      <x:c r="J135" s="42"/>
      <x:c r="K135" s="42"/>
      <x:c r="L135" s="42"/>
    </x:row>
    <x:row r="136">
      <x:c r="J136" s="42"/>
      <x:c r="K136" s="42"/>
      <x:c r="L136" s="42"/>
    </x:row>
    <x:row r="137">
      <x:c r="J137" s="42"/>
      <x:c r="K137" s="42"/>
      <x:c r="L137" s="42"/>
    </x:row>
    <x:row r="138">
      <x:c r="J138" s="42"/>
      <x:c r="K138" s="42"/>
      <x:c r="L138" s="42"/>
    </x:row>
    <x:row r="139">
      <x:c r="J139" s="42"/>
      <x:c r="K139" s="42"/>
      <x:c r="L139" s="42"/>
    </x:row>
    <x:row r="140">
      <x:c r="J140" s="42"/>
      <x:c r="K140" s="42"/>
      <x:c r="L140" s="42"/>
    </x:row>
    <x:row r="141">
      <x:c r="J141" s="42"/>
      <x:c r="K141" s="42"/>
      <x:c r="L141" s="42"/>
    </x:row>
    <x:row r="142">
      <x:c r="J142" s="42"/>
      <x:c r="K142" s="42"/>
      <x:c r="L142" s="42"/>
    </x:row>
    <x:row r="143">
      <x:c r="J143" s="42"/>
      <x:c r="K143" s="42"/>
      <x:c r="L143" s="42"/>
    </x:row>
    <x:row r="144">
      <x:c r="J144" s="42"/>
      <x:c r="K144" s="42"/>
      <x:c r="L144" s="42"/>
    </x:row>
    <x:row r="145">
      <x:c r="J145" s="42"/>
      <x:c r="K145" s="42"/>
      <x:c r="L145" s="42"/>
    </x:row>
    <x:row r="146">
      <x:c r="J146" s="42"/>
      <x:c r="K146" s="42"/>
      <x:c r="L146" s="42"/>
    </x:row>
    <x:row r="147">
      <x:c r="J147" s="42"/>
      <x:c r="K147" s="42"/>
      <x:c r="L147" s="42"/>
    </x:row>
    <x:row r="148">
      <x:c r="J148" s="42"/>
      <x:c r="K148" s="42"/>
      <x:c r="L148" s="42"/>
    </x:row>
    <x:row r="149">
      <x:c r="J149" s="42"/>
      <x:c r="K149" s="42"/>
      <x:c r="L149" s="42"/>
    </x:row>
    <x:row r="150">
      <x:c r="J150" s="42"/>
      <x:c r="K150" s="42"/>
      <x:c r="L150" s="42"/>
    </x:row>
    <x:row r="151">
      <x:c r="J151" s="42"/>
      <x:c r="K151" s="42"/>
      <x:c r="L151" s="42"/>
    </x:row>
    <x:row r="152">
      <x:c r="J152" s="42"/>
      <x:c r="K152" s="42"/>
      <x:c r="L152" s="42"/>
    </x:row>
    <x:row r="153">
      <x:c r="J153" s="42"/>
      <x:c r="K153" s="42"/>
      <x:c r="L153" s="42"/>
    </x:row>
    <x:row r="154">
      <x:c r="J154" s="42"/>
      <x:c r="K154" s="42"/>
      <x:c r="L154" s="42"/>
    </x:row>
    <x:row r="155">
      <x:c r="J155" s="42"/>
      <x:c r="K155" s="42"/>
      <x:c r="L155" s="42"/>
    </x:row>
    <x:row r="156">
      <x:c r="J156" s="42"/>
      <x:c r="K156" s="42"/>
      <x:c r="L156" s="42"/>
    </x:row>
    <x:row r="157">
      <x:c r="J157" s="42"/>
      <x:c r="K157" s="42"/>
      <x:c r="L157" s="42"/>
    </x:row>
    <x:row r="158">
      <x:c r="J158" s="42"/>
      <x:c r="K158" s="42"/>
      <x:c r="L158" s="42"/>
    </x:row>
    <x:row r="159">
      <x:c r="J159" s="42"/>
      <x:c r="K159" s="42"/>
      <x:c r="L159" s="42"/>
    </x:row>
    <x:row r="160">
      <x:c r="J160" s="42"/>
      <x:c r="K160" s="42"/>
      <x:c r="L160" s="42"/>
    </x:row>
    <x:row r="161">
      <x:c r="J161" s="42"/>
      <x:c r="K161" s="42"/>
      <x:c r="L161" s="42"/>
    </x:row>
    <x:row r="162">
      <x:c r="J162" s="42"/>
      <x:c r="K162" s="42"/>
      <x:c r="L162" s="42"/>
    </x:row>
    <x:row r="163">
      <x:c r="J163" s="42"/>
      <x:c r="K163" s="42"/>
      <x:c r="L163" s="42"/>
    </x:row>
    <x:row r="164">
      <x:c r="J164" s="42"/>
      <x:c r="K164" s="42"/>
      <x:c r="L164" s="42"/>
    </x:row>
    <x:row r="165">
      <x:c r="J165" s="42"/>
      <x:c r="K165" s="42"/>
      <x:c r="L165" s="42"/>
    </x:row>
    <x:row r="166">
      <x:c r="J166" s="42"/>
      <x:c r="K166" s="42"/>
      <x:c r="L166" s="42"/>
    </x:row>
    <x:row r="167">
      <x:c r="J167" s="42"/>
      <x:c r="K167" s="42"/>
      <x:c r="L167" s="42"/>
    </x:row>
    <x:row r="168">
      <x:c r="J168" s="42"/>
      <x:c r="K168" s="42"/>
      <x:c r="L168" s="42"/>
    </x:row>
    <x:row r="169">
      <x:c r="J169" s="42"/>
      <x:c r="K169" s="42"/>
      <x:c r="L169" s="42"/>
    </x:row>
    <x:row r="170">
      <x:c r="J170" s="42"/>
      <x:c r="K170" s="42"/>
      <x:c r="L170" s="42"/>
    </x:row>
    <x:row r="171">
      <x:c r="J171" s="42"/>
      <x:c r="K171" s="42"/>
      <x:c r="L171" s="42"/>
    </x:row>
    <x:row r="172">
      <x:c r="J172" s="42"/>
      <x:c r="K172" s="42"/>
      <x:c r="L172" s="42"/>
    </x:row>
    <x:row r="173">
      <x:c r="J173" s="42"/>
      <x:c r="K173" s="42"/>
      <x:c r="L173" s="42"/>
    </x:row>
    <x:row r="174">
      <x:c r="J174" s="42"/>
      <x:c r="K174" s="42"/>
      <x:c r="L174" s="42"/>
    </x:row>
    <x:row r="175">
      <x:c r="J175" s="42"/>
      <x:c r="K175" s="42"/>
      <x:c r="L175" s="42"/>
    </x:row>
    <x:row r="176">
      <x:c r="J176" s="42"/>
      <x:c r="K176" s="42"/>
      <x:c r="L176" s="42"/>
    </x:row>
    <x:row r="177">
      <x:c r="J177" s="42"/>
      <x:c r="K177" s="42"/>
      <x:c r="L177" s="42"/>
    </x:row>
    <x:row r="178">
      <x:c r="J178" s="42"/>
      <x:c r="K178" s="42"/>
      <x:c r="L178" s="42"/>
    </x:row>
    <x:row r="179">
      <x:c r="J179" s="42"/>
      <x:c r="K179" s="42"/>
      <x:c r="L179" s="42"/>
    </x:row>
    <x:row r="180">
      <x:c r="J180" s="42"/>
      <x:c r="K180" s="42"/>
      <x:c r="L180" s="42"/>
    </x:row>
    <x:row r="181">
      <x:c r="J181" s="42"/>
      <x:c r="K181" s="42"/>
      <x:c r="L181" s="42"/>
    </x:row>
    <x:row r="182">
      <x:c r="J182" s="42"/>
      <x:c r="K182" s="42"/>
      <x:c r="L182" s="42"/>
    </x:row>
    <x:row r="183">
      <x:c r="J183" s="42"/>
      <x:c r="K183" s="42"/>
      <x:c r="L183" s="42"/>
    </x:row>
    <x:row r="184">
      <x:c r="J184" s="42"/>
      <x:c r="K184" s="42"/>
      <x:c r="L184" s="42"/>
    </x:row>
    <x:row r="185">
      <x:c r="J185" s="42"/>
      <x:c r="K185" s="42"/>
      <x:c r="L185" s="42"/>
    </x:row>
    <x:row r="186">
      <x:c r="J186" s="42"/>
      <x:c r="K186" s="42"/>
      <x:c r="L186" s="42"/>
    </x:row>
    <x:row r="187">
      <x:c r="J187" s="42"/>
      <x:c r="K187" s="42"/>
      <x:c r="L187" s="42"/>
    </x:row>
    <x:row r="188">
      <x:c r="J188" s="42"/>
      <x:c r="K188" s="42"/>
      <x:c r="L188" s="42"/>
    </x:row>
    <x:row r="189">
      <x:c r="J189" s="42"/>
      <x:c r="K189" s="42"/>
      <x:c r="L189" s="42"/>
    </x:row>
    <x:row r="190">
      <x:c r="J190" s="42"/>
      <x:c r="K190" s="42"/>
      <x:c r="L190" s="42"/>
    </x:row>
    <x:row r="191">
      <x:c r="J191" s="42"/>
      <x:c r="K191" s="42"/>
      <x:c r="L191" s="42"/>
    </x:row>
    <x:row r="192">
      <x:c r="J192" s="42"/>
      <x:c r="K192" s="42"/>
      <x:c r="L192" s="42"/>
    </x:row>
    <x:row r="193">
      <x:c r="J193" s="42"/>
      <x:c r="K193" s="42"/>
      <x:c r="L193" s="42"/>
    </x:row>
    <x:row r="194">
      <x:c r="J194" s="42"/>
      <x:c r="K194" s="42"/>
      <x:c r="L194" s="42"/>
    </x:row>
    <x:row r="195">
      <x:c r="J195" s="42"/>
      <x:c r="K195" s="42"/>
      <x:c r="L195" s="42"/>
    </x:row>
    <x:row r="196">
      <x:c r="J196" s="42"/>
      <x:c r="K196" s="42"/>
      <x:c r="L196" s="42"/>
    </x:row>
    <x:row r="197">
      <x:c r="J197" s="42"/>
      <x:c r="K197" s="42"/>
      <x:c r="L197" s="42"/>
    </x:row>
    <x:row r="198">
      <x:c r="J198" s="42"/>
      <x:c r="K198" s="42"/>
      <x:c r="L198" s="42"/>
    </x:row>
    <x:row r="199">
      <x:c r="J199" s="42"/>
      <x:c r="K199" s="42"/>
      <x:c r="L199" s="42"/>
    </x:row>
    <x:row r="200">
      <x:c r="J200" s="42"/>
      <x:c r="K200" s="42"/>
      <x:c r="L200" s="42"/>
    </x:row>
    <x:row r="201">
      <x:c r="J201" s="42"/>
      <x:c r="K201" s="42"/>
      <x:c r="L201" s="42"/>
    </x:row>
    <x:row r="202">
      <x:c r="J202" s="42"/>
      <x:c r="K202" s="42"/>
      <x:c r="L202" s="42"/>
    </x:row>
    <x:row r="203">
      <x:c r="J203" s="42"/>
      <x:c r="K203" s="42"/>
      <x:c r="L203" s="42"/>
    </x:row>
    <x:row r="204">
      <x:c r="J204" s="42"/>
      <x:c r="K204" s="42"/>
      <x:c r="L204" s="42"/>
    </x:row>
    <x:row r="205">
      <x:c r="J205" s="42"/>
      <x:c r="K205" s="42"/>
      <x:c r="L205" s="42"/>
    </x:row>
    <x:row r="206">
      <x:c r="J206" s="42"/>
      <x:c r="K206" s="42"/>
      <x:c r="L206" s="42"/>
    </x:row>
    <x:row r="207">
      <x:c r="J207" s="42"/>
      <x:c r="K207" s="42"/>
      <x:c r="L207" s="42"/>
    </x:row>
    <x:row r="208">
      <x:c r="J208" s="42"/>
      <x:c r="K208" s="42"/>
      <x:c r="L208" s="42"/>
    </x:row>
    <x:row r="209">
      <x:c r="J209" s="42"/>
      <x:c r="K209" s="42"/>
      <x:c r="L209" s="42"/>
    </x:row>
    <x:row r="210">
      <x:c r="J210" s="42"/>
      <x:c r="K210" s="42"/>
      <x:c r="L210" s="42"/>
    </x:row>
    <x:row r="211">
      <x:c r="J211" s="42"/>
      <x:c r="K211" s="42"/>
      <x:c r="L211" s="42"/>
    </x:row>
    <x:row r="212">
      <x:c r="J212" s="42"/>
      <x:c r="K212" s="42"/>
      <x:c r="L212" s="42"/>
    </x:row>
    <x:row r="213">
      <x:c r="J213" s="42"/>
      <x:c r="K213" s="42"/>
      <x:c r="L213" s="42"/>
    </x:row>
    <x:row r="214">
      <x:c r="J214" s="42"/>
      <x:c r="K214" s="42"/>
      <x:c r="L214" s="42"/>
    </x:row>
    <x:row r="215">
      <x:c r="J215" s="42"/>
      <x:c r="K215" s="42"/>
      <x:c r="L215" s="42"/>
    </x:row>
    <x:row r="216">
      <x:c r="J216" s="42"/>
      <x:c r="K216" s="42"/>
      <x:c r="L216" s="42"/>
    </x:row>
    <x:row r="217">
      <x:c r="J217" s="42"/>
      <x:c r="K217" s="42"/>
      <x:c r="L217" s="42"/>
    </x:row>
    <x:row r="218">
      <x:c r="J218" s="42"/>
      <x:c r="K218" s="42"/>
      <x:c r="L218" s="42"/>
    </x:row>
    <x:row r="219">
      <x:c r="J219" s="42"/>
      <x:c r="K219" s="42"/>
      <x:c r="L219" s="42"/>
    </x:row>
    <x:row r="220">
      <x:c r="J220" s="42"/>
      <x:c r="K220" s="42"/>
      <x:c r="L220" s="42"/>
    </x:row>
    <x:row r="221">
      <x:c r="J221" s="42"/>
      <x:c r="K221" s="42"/>
      <x:c r="L221" s="42"/>
    </x:row>
    <x:row r="222">
      <x:c r="J222" s="42"/>
      <x:c r="K222" s="42"/>
      <x:c r="L222" s="42"/>
    </x:row>
    <x:row r="223">
      <x:c r="J223" s="42"/>
      <x:c r="K223" s="42"/>
      <x:c r="L223" s="42"/>
    </x:row>
    <x:row r="224">
      <x:c r="J224" s="42"/>
      <x:c r="K224" s="42"/>
      <x:c r="L224" s="42"/>
    </x:row>
    <x:row r="225">
      <x:c r="J225" s="42"/>
      <x:c r="K225" s="42"/>
      <x:c r="L225" s="42"/>
    </x:row>
    <x:row r="226">
      <x:c r="J226" s="42"/>
      <x:c r="K226" s="42"/>
      <x:c r="L226" s="42"/>
    </x:row>
    <x:row r="227">
      <x:c r="J227" s="42"/>
      <x:c r="K227" s="42"/>
      <x:c r="L227" s="42"/>
    </x:row>
    <x:row r="228">
      <x:c r="J228" s="42"/>
      <x:c r="K228" s="42"/>
      <x:c r="L228" s="42"/>
    </x:row>
    <x:row r="229">
      <x:c r="J229" s="42"/>
      <x:c r="K229" s="42"/>
      <x:c r="L229" s="42"/>
    </x:row>
    <x:row r="230">
      <x:c r="J230" s="42"/>
      <x:c r="K230" s="42"/>
      <x:c r="L230" s="42"/>
    </x:row>
    <x:row r="231">
      <x:c r="J231" s="42"/>
      <x:c r="K231" s="42"/>
      <x:c r="L231" s="42"/>
    </x:row>
    <x:row r="232">
      <x:c r="J232" s="42"/>
      <x:c r="K232" s="42"/>
      <x:c r="L232" s="42"/>
    </x:row>
    <x:row r="233">
      <x:c r="J233" s="42"/>
      <x:c r="K233" s="42"/>
      <x:c r="L233" s="42"/>
    </x:row>
    <x:row r="234">
      <x:c r="J234" s="42"/>
      <x:c r="K234" s="42"/>
      <x:c r="L234" s="42"/>
    </x:row>
    <x:row r="235">
      <x:c r="J235" s="42"/>
      <x:c r="K235" s="42"/>
      <x:c r="L235" s="42"/>
    </x:row>
    <x:row r="236">
      <x:c r="J236" s="42"/>
      <x:c r="K236" s="42"/>
      <x:c r="L236" s="42"/>
    </x:row>
    <x:row r="237">
      <x:c r="J237" s="42"/>
      <x:c r="K237" s="42"/>
      <x:c r="L237" s="42"/>
    </x:row>
    <x:row r="238">
      <x:c r="J238" s="42"/>
      <x:c r="K238" s="42"/>
      <x:c r="L238" s="42"/>
    </x:row>
    <x:row r="239">
      <x:c r="J239" s="42"/>
      <x:c r="K239" s="42"/>
      <x:c r="L239" s="42"/>
    </x:row>
    <x:row r="240">
      <x:c r="J240" s="42"/>
      <x:c r="K240" s="42"/>
      <x:c r="L240" s="42"/>
    </x:row>
    <x:row r="241">
      <x:c r="J241" s="42"/>
      <x:c r="K241" s="42"/>
      <x:c r="L241" s="42"/>
    </x:row>
    <x:row r="242">
      <x:c r="J242" s="42"/>
      <x:c r="K242" s="42"/>
      <x:c r="L242" s="42"/>
    </x:row>
    <x:row r="243">
      <x:c r="J243" s="42"/>
      <x:c r="K243" s="42"/>
      <x:c r="L243" s="42"/>
    </x:row>
    <x:row r="244">
      <x:c r="J244" s="42"/>
      <x:c r="K244" s="42"/>
      <x:c r="L244" s="42"/>
    </x:row>
    <x:row r="245">
      <x:c r="J245" s="42"/>
      <x:c r="K245" s="42"/>
      <x:c r="L245" s="42"/>
    </x:row>
    <x:row r="246">
      <x:c r="J246" s="42"/>
      <x:c r="K246" s="42"/>
      <x:c r="L246" s="42"/>
    </x:row>
    <x:row r="247">
      <x:c r="J247" s="42"/>
      <x:c r="K247" s="42"/>
      <x:c r="L247" s="42"/>
    </x:row>
    <x:row r="248">
      <x:c r="J248" s="42"/>
      <x:c r="K248" s="42"/>
      <x:c r="L248" s="42"/>
    </x:row>
    <x:row r="249">
      <x:c r="J249" s="42"/>
      <x:c r="K249" s="42"/>
      <x:c r="L249" s="42"/>
    </x:row>
    <x:row r="250">
      <x:c r="J250" s="42"/>
      <x:c r="K250" s="42"/>
      <x:c r="L250" s="42"/>
    </x:row>
    <x:row r="251">
      <x:c r="J251" s="42"/>
      <x:c r="K251" s="42"/>
      <x:c r="L251" s="42"/>
    </x:row>
    <x:row r="252">
      <x:c r="J252" s="42"/>
      <x:c r="K252" s="42"/>
      <x:c r="L252" s="42"/>
    </x:row>
    <x:row r="253">
      <x:c r="J253" s="42"/>
      <x:c r="K253" s="42"/>
      <x:c r="L253" s="42"/>
    </x:row>
    <x:row r="254">
      <x:c r="J254" s="42"/>
      <x:c r="K254" s="42"/>
      <x:c r="L254" s="42"/>
    </x:row>
    <x:row r="255">
      <x:c r="J255" s="42"/>
      <x:c r="K255" s="42"/>
      <x:c r="L255" s="42"/>
    </x:row>
    <x:row r="256">
      <x:c r="J256" s="42"/>
      <x:c r="K256" s="42"/>
      <x:c r="L256" s="42"/>
    </x:row>
    <x:row r="257">
      <x:c r="J257" s="42"/>
      <x:c r="K257" s="42"/>
      <x:c r="L257" s="42"/>
    </x:row>
    <x:row r="258">
      <x:c r="J258" s="42"/>
      <x:c r="K258" s="42"/>
      <x:c r="L258" s="42"/>
    </x:row>
    <x:row r="259">
      <x:c r="J259" s="42"/>
      <x:c r="K259" s="42"/>
      <x:c r="L259" s="42"/>
    </x:row>
    <x:row r="260">
      <x:c r="J260" s="42"/>
      <x:c r="K260" s="42"/>
      <x:c r="L260" s="42"/>
    </x:row>
    <x:row r="261">
      <x:c r="J261" s="42"/>
      <x:c r="K261" s="42"/>
      <x:c r="L261" s="42"/>
    </x:row>
    <x:row r="262">
      <x:c r="J262" s="42"/>
      <x:c r="K262" s="42"/>
      <x:c r="L262" s="42"/>
    </x:row>
    <x:row r="263">
      <x:c r="J263" s="42"/>
      <x:c r="K263" s="42"/>
      <x:c r="L263" s="42"/>
    </x:row>
    <x:row r="264">
      <x:c r="J264" s="42"/>
      <x:c r="K264" s="42"/>
      <x:c r="L264" s="42"/>
    </x:row>
    <x:row r="265">
      <x:c r="J265" s="42"/>
      <x:c r="K265" s="42"/>
      <x:c r="L265" s="42"/>
    </x:row>
    <x:row r="266">
      <x:c r="J266" s="42"/>
      <x:c r="K266" s="42"/>
      <x:c r="L266" s="42"/>
    </x:row>
    <x:row r="267">
      <x:c r="J267" s="42"/>
      <x:c r="K267" s="42"/>
      <x:c r="L267" s="42"/>
    </x:row>
    <x:row r="268">
      <x:c r="J268" s="42"/>
      <x:c r="K268" s="42"/>
      <x:c r="L268" s="42"/>
    </x:row>
    <x:row r="269">
      <x:c r="J269" s="42"/>
      <x:c r="K269" s="42"/>
      <x:c r="L269" s="42"/>
    </x:row>
    <x:row r="270">
      <x:c r="J270" s="42"/>
      <x:c r="K270" s="42"/>
      <x:c r="L270" s="42"/>
    </x:row>
    <x:row r="271">
      <x:c r="J271" s="42"/>
      <x:c r="K271" s="42"/>
      <x:c r="L271" s="42"/>
    </x:row>
    <x:row r="272">
      <x:c r="J272" s="42"/>
      <x:c r="K272" s="42"/>
      <x:c r="L272" s="42"/>
    </x:row>
    <x:row r="273">
      <x:c r="J273" s="42"/>
      <x:c r="K273" s="42"/>
      <x:c r="L273" s="42"/>
    </x:row>
    <x:row r="274">
      <x:c r="J274" s="42"/>
      <x:c r="K274" s="42"/>
      <x:c r="L274" s="42"/>
    </x:row>
    <x:row r="275">
      <x:c r="J275" s="42"/>
      <x:c r="K275" s="42"/>
      <x:c r="L275" s="42"/>
    </x:row>
    <x:row r="276">
      <x:c r="J276" s="42"/>
      <x:c r="K276" s="42"/>
      <x:c r="L276" s="42"/>
    </x:row>
    <x:row r="277">
      <x:c r="J277" s="42"/>
      <x:c r="K277" s="42"/>
      <x:c r="L277" s="42"/>
    </x:row>
    <x:row r="278">
      <x:c r="J278" s="42"/>
      <x:c r="K278" s="42"/>
      <x:c r="L278" s="42"/>
    </x:row>
    <x:row r="279">
      <x:c r="J279" s="42"/>
      <x:c r="K279" s="42"/>
      <x:c r="L279" s="42"/>
    </x:row>
    <x:row r="280">
      <x:c r="J280" s="42"/>
      <x:c r="K280" s="42"/>
      <x:c r="L280" s="42"/>
    </x:row>
    <x:row r="281">
      <x:c r="J281" s="42"/>
      <x:c r="K281" s="42"/>
      <x:c r="L281" s="42"/>
    </x:row>
    <x:row r="282">
      <x:c r="J282" s="42"/>
      <x:c r="K282" s="42"/>
      <x:c r="L282" s="42"/>
    </x:row>
    <x:row r="283">
      <x:c r="J283" s="42"/>
      <x:c r="K283" s="42"/>
      <x:c r="L283" s="42"/>
    </x:row>
    <x:row r="284">
      <x:c r="J284" s="42"/>
      <x:c r="K284" s="42"/>
      <x:c r="L284" s="42"/>
    </x:row>
    <x:row r="285">
      <x:c r="J285" s="42"/>
      <x:c r="K285" s="42"/>
      <x:c r="L285" s="42"/>
    </x:row>
    <x:row r="286">
      <x:c r="J286" s="42"/>
      <x:c r="K286" s="42"/>
      <x:c r="L286" s="42"/>
    </x:row>
    <x:row r="287">
      <x:c r="J287" s="42"/>
      <x:c r="K287" s="42"/>
      <x:c r="L287" s="42"/>
    </x:row>
    <x:row r="288">
      <x:c r="J288" s="42"/>
      <x:c r="K288" s="42"/>
      <x:c r="L288" s="42"/>
    </x:row>
    <x:row r="289">
      <x:c r="J289" s="42"/>
      <x:c r="K289" s="42"/>
      <x:c r="L289" s="42"/>
    </x:row>
    <x:row r="290">
      <x:c r="J290" s="42"/>
      <x:c r="K290" s="42"/>
      <x:c r="L290" s="42"/>
    </x:row>
    <x:row r="291">
      <x:c r="J291" s="42"/>
      <x:c r="K291" s="42"/>
      <x:c r="L291" s="42"/>
    </x:row>
    <x:row r="292">
      <x:c r="J292" s="42"/>
      <x:c r="K292" s="42"/>
      <x:c r="L292" s="42"/>
    </x:row>
    <x:row r="293">
      <x:c r="J293" s="42"/>
      <x:c r="K293" s="42"/>
      <x:c r="L293" s="42"/>
    </x:row>
    <x:row r="294">
      <x:c r="J294" s="42"/>
      <x:c r="K294" s="42"/>
      <x:c r="L294" s="42"/>
    </x:row>
    <x:row r="295">
      <x:c r="J295" s="42"/>
      <x:c r="K295" s="42"/>
      <x:c r="L295" s="42"/>
    </x:row>
    <x:row r="296">
      <x:c r="J296" s="42"/>
      <x:c r="K296" s="42"/>
      <x:c r="L296" s="42"/>
    </x:row>
    <x:row r="297">
      <x:c r="J297" s="42"/>
      <x:c r="K297" s="42"/>
      <x:c r="L297" s="42"/>
    </x:row>
    <x:row r="298">
      <x:c r="J298" s="42"/>
      <x:c r="K298" s="42"/>
      <x:c r="L298" s="42"/>
    </x:row>
    <x:row r="299">
      <x:c r="J299" s="42"/>
      <x:c r="K299" s="42"/>
      <x:c r="L299" s="42"/>
    </x:row>
    <x:row r="300">
      <x:c r="J300" s="42"/>
      <x:c r="K300" s="42"/>
      <x:c r="L300" s="42"/>
    </x:row>
    <x:row r="301">
      <x:c r="J301" s="42"/>
      <x:c r="K301" s="42"/>
      <x:c r="L301" s="42"/>
    </x:row>
    <x:row r="302">
      <x:c r="J302" s="42"/>
      <x:c r="K302" s="42"/>
      <x:c r="L302" s="42"/>
    </x:row>
    <x:row r="303">
      <x:c r="J303" s="42"/>
      <x:c r="K303" s="42"/>
      <x:c r="L303" s="42"/>
    </x:row>
    <x:row r="304">
      <x:c r="J304" s="42"/>
      <x:c r="K304" s="42"/>
      <x:c r="L304" s="42"/>
    </x:row>
    <x:row r="305">
      <x:c r="J305" s="42"/>
      <x:c r="K305" s="42"/>
      <x:c r="L305" s="42"/>
    </x:row>
    <x:row r="306">
      <x:c r="J306" s="42"/>
      <x:c r="K306" s="42"/>
      <x:c r="L306" s="42"/>
    </x:row>
    <x:row r="307">
      <x:c r="J307" s="42"/>
      <x:c r="K307" s="42"/>
      <x:c r="L307" s="42"/>
    </x:row>
    <x:row r="308">
      <x:c r="J308" s="42"/>
      <x:c r="K308" s="42"/>
      <x:c r="L308" s="42"/>
    </x:row>
    <x:row r="309">
      <x:c r="J309" s="42"/>
      <x:c r="K309" s="42"/>
      <x:c r="L309" s="42"/>
    </x:row>
    <x:row r="310">
      <x:c r="J310" s="42"/>
      <x:c r="K310" s="42"/>
      <x:c r="L310" s="42"/>
    </x:row>
    <x:row r="311">
      <x:c r="J311" s="42"/>
      <x:c r="K311" s="42"/>
      <x:c r="L311" s="42"/>
    </x:row>
    <x:row r="312">
      <x:c r="J312" s="42"/>
      <x:c r="K312" s="42"/>
      <x:c r="L312" s="42"/>
    </x:row>
    <x:row r="313">
      <x:c r="J313" s="42"/>
      <x:c r="K313" s="42"/>
      <x:c r="L313" s="42"/>
    </x:row>
    <x:row r="314">
      <x:c r="J314" s="42"/>
      <x:c r="K314" s="42"/>
      <x:c r="L314" s="42"/>
    </x:row>
    <x:row r="315">
      <x:c r="J315" s="42"/>
      <x:c r="K315" s="42"/>
      <x:c r="L315" s="42"/>
    </x:row>
    <x:row r="316">
      <x:c r="J316" s="42"/>
      <x:c r="K316" s="42"/>
      <x:c r="L316" s="42"/>
    </x:row>
    <x:row r="317">
      <x:c r="J317" s="42"/>
      <x:c r="K317" s="42"/>
      <x:c r="L317" s="42"/>
    </x:row>
    <x:row r="318">
      <x:c r="J318" s="42"/>
      <x:c r="K318" s="42"/>
      <x:c r="L318" s="42"/>
    </x:row>
    <x:row r="319">
      <x:c r="J319" s="42"/>
      <x:c r="K319" s="42"/>
      <x:c r="L319" s="42"/>
    </x:row>
    <x:row r="320">
      <x:c r="J320" s="42"/>
      <x:c r="K320" s="42"/>
      <x:c r="L320" s="42"/>
    </x:row>
    <x:row r="321">
      <x:c r="J321" s="42"/>
      <x:c r="K321" s="42"/>
      <x:c r="L321" s="42"/>
    </x:row>
    <x:row r="322">
      <x:c r="J322" s="42"/>
      <x:c r="K322" s="42"/>
      <x:c r="L322" s="42"/>
    </x:row>
    <x:row r="323">
      <x:c r="J323" s="42"/>
      <x:c r="K323" s="42"/>
      <x:c r="L323" s="42"/>
    </x:row>
    <x:row r="324">
      <x:c r="J324" s="42"/>
      <x:c r="K324" s="42"/>
      <x:c r="L324" s="42"/>
    </x:row>
    <x:row r="325">
      <x:c r="J325" s="42"/>
      <x:c r="K325" s="42"/>
      <x:c r="L325" s="42"/>
    </x:row>
    <x:row r="326">
      <x:c r="J326" s="42"/>
      <x:c r="K326" s="42"/>
      <x:c r="L326" s="42"/>
    </x:row>
    <x:row r="327">
      <x:c r="J327" s="42"/>
      <x:c r="K327" s="42"/>
      <x:c r="L327" s="42"/>
    </x:row>
    <x:row r="328">
      <x:c r="J328" s="42"/>
      <x:c r="K328" s="42"/>
      <x:c r="L328" s="42"/>
    </x:row>
    <x:row r="329">
      <x:c r="J329" s="42"/>
      <x:c r="K329" s="42"/>
      <x:c r="L329" s="42"/>
    </x:row>
    <x:row r="330">
      <x:c r="J330" s="42"/>
      <x:c r="K330" s="42"/>
      <x:c r="L330" s="42"/>
    </x:row>
    <x:row r="331">
      <x:c r="J331" s="42"/>
      <x:c r="K331" s="42"/>
      <x:c r="L331" s="42"/>
    </x:row>
    <x:row r="332">
      <x:c r="J332" s="42"/>
      <x:c r="K332" s="42"/>
      <x:c r="L332" s="42"/>
    </x:row>
    <x:row r="333">
      <x:c r="J333" s="42"/>
      <x:c r="K333" s="42"/>
      <x:c r="L333" s="42"/>
    </x:row>
    <x:row r="334">
      <x:c r="J334" s="42"/>
      <x:c r="K334" s="42"/>
      <x:c r="L334" s="42"/>
    </x:row>
    <x:row r="335">
      <x:c r="J335" s="42"/>
      <x:c r="K335" s="42"/>
      <x:c r="L335" s="42"/>
    </x:row>
    <x:row r="336">
      <x:c r="J336" s="42"/>
      <x:c r="K336" s="42"/>
      <x:c r="L336" s="42"/>
    </x:row>
    <x:row r="337">
      <x:c r="J337" s="42"/>
      <x:c r="K337" s="42"/>
      <x:c r="L337" s="42"/>
    </x:row>
    <x:row r="338">
      <x:c r="J338" s="42"/>
      <x:c r="K338" s="42"/>
      <x:c r="L338" s="42"/>
    </x:row>
    <x:row r="339">
      <x:c r="J339" s="42"/>
      <x:c r="K339" s="42"/>
      <x:c r="L339" s="42"/>
    </x:row>
    <x:row r="340">
      <x:c r="J340" s="42"/>
      <x:c r="K340" s="42"/>
      <x:c r="L340" s="42"/>
    </x:row>
    <x:row r="341">
      <x:c r="J341" s="42"/>
      <x:c r="K341" s="42"/>
      <x:c r="L341" s="42"/>
    </x:row>
    <x:row r="342">
      <x:c r="J342" s="42"/>
      <x:c r="K342" s="42"/>
      <x:c r="L342" s="42"/>
    </x:row>
    <x:row r="343">
      <x:c r="J343" s="42"/>
      <x:c r="K343" s="42"/>
      <x:c r="L343" s="42"/>
    </x:row>
    <x:row r="344">
      <x:c r="J344" s="42"/>
      <x:c r="K344" s="42"/>
      <x:c r="L344" s="42"/>
    </x:row>
    <x:row r="345">
      <x:c r="J345" s="42"/>
      <x:c r="K345" s="42"/>
      <x:c r="L345" s="42"/>
    </x:row>
    <x:row r="346">
      <x:c r="J346" s="42"/>
      <x:c r="K346" s="42"/>
      <x:c r="L346" s="42"/>
    </x:row>
    <x:row r="347">
      <x:c r="J347" s="42"/>
      <x:c r="K347" s="42"/>
      <x:c r="L347" s="42"/>
    </x:row>
    <x:row r="348">
      <x:c r="J348" s="42"/>
      <x:c r="K348" s="42"/>
      <x:c r="L348" s="42"/>
    </x:row>
    <x:row r="349">
      <x:c r="J349" s="42"/>
      <x:c r="K349" s="42"/>
      <x:c r="L349" s="42"/>
    </x:row>
    <x:row r="350">
      <x:c r="J350" s="42"/>
      <x:c r="K350" s="42"/>
      <x:c r="L350" s="42"/>
    </x:row>
    <x:row r="351">
      <x:c r="J351" s="42"/>
      <x:c r="K351" s="42"/>
      <x:c r="L351" s="42"/>
    </x:row>
    <x:row r="352">
      <x:c r="J352" s="42"/>
      <x:c r="K352" s="42"/>
      <x:c r="L352" s="42"/>
    </x:row>
    <x:row r="353">
      <x:c r="J353" s="42"/>
      <x:c r="K353" s="42"/>
      <x:c r="L353" s="42"/>
    </x:row>
    <x:row r="354">
      <x:c r="J354" s="42"/>
      <x:c r="K354" s="42"/>
      <x:c r="L354" s="42"/>
    </x:row>
    <x:row r="355">
      <x:c r="J355" s="42"/>
      <x:c r="K355" s="42"/>
      <x:c r="L355" s="42"/>
    </x:row>
    <x:row r="356">
      <x:c r="J356" s="42"/>
      <x:c r="K356" s="42"/>
      <x:c r="L356" s="42"/>
    </x:row>
    <x:row r="357">
      <x:c r="J357" s="42"/>
      <x:c r="K357" s="42"/>
      <x:c r="L357" s="42"/>
    </x:row>
    <x:row r="358">
      <x:c r="J358" s="42"/>
      <x:c r="K358" s="42"/>
      <x:c r="L358" s="42"/>
    </x:row>
    <x:row r="359">
      <x:c r="J359" s="42"/>
      <x:c r="K359" s="42"/>
      <x:c r="L359" s="42"/>
    </x:row>
    <x:row r="360">
      <x:c r="J360" s="42"/>
      <x:c r="K360" s="42"/>
      <x:c r="L360" s="42"/>
    </x:row>
    <x:row r="361">
      <x:c r="J361" s="42"/>
      <x:c r="K361" s="42"/>
      <x:c r="L361" s="42"/>
    </x:row>
    <x:row r="362">
      <x:c r="J362" s="42"/>
      <x:c r="K362" s="42"/>
      <x:c r="L362" s="42"/>
    </x:row>
    <x:row r="363">
      <x:c r="J363" s="42"/>
      <x:c r="K363" s="42"/>
      <x:c r="L363" s="42"/>
    </x:row>
    <x:row r="364">
      <x:c r="J364" s="42"/>
      <x:c r="K364" s="42"/>
      <x:c r="L364" s="42"/>
    </x:row>
    <x:row r="365">
      <x:c r="J365" s="42"/>
      <x:c r="K365" s="42"/>
      <x:c r="L365" s="42"/>
    </x:row>
    <x:row r="366">
      <x:c r="J366" s="42"/>
      <x:c r="K366" s="42"/>
      <x:c r="L366" s="42"/>
    </x:row>
    <x:row r="367">
      <x:c r="J367" s="42"/>
      <x:c r="K367" s="42"/>
      <x:c r="L367" s="42"/>
    </x:row>
    <x:row r="368">
      <x:c r="J368" s="42"/>
      <x:c r="K368" s="42"/>
      <x:c r="L368" s="42"/>
    </x:row>
    <x:row r="369">
      <x:c r="J369" s="42"/>
      <x:c r="K369" s="42"/>
      <x:c r="L369" s="42"/>
    </x:row>
    <x:row r="370">
      <x:c r="J370" s="42"/>
      <x:c r="K370" s="42"/>
      <x:c r="L370" s="42"/>
    </x:row>
    <x:row r="371">
      <x:c r="J371" s="42"/>
      <x:c r="K371" s="42"/>
      <x:c r="L371" s="42"/>
    </x:row>
    <x:row r="372">
      <x:c r="J372" s="42"/>
      <x:c r="K372" s="42"/>
      <x:c r="L372" s="42"/>
    </x:row>
    <x:row r="373">
      <x:c r="J373" s="42"/>
      <x:c r="K373" s="42"/>
      <x:c r="L373" s="42"/>
    </x:row>
    <x:row r="374">
      <x:c r="J374" s="42"/>
      <x:c r="K374" s="42"/>
      <x:c r="L374" s="42"/>
    </x:row>
    <x:row r="375">
      <x:c r="J375" s="42"/>
      <x:c r="K375" s="42"/>
      <x:c r="L375" s="42"/>
    </x:row>
    <x:row r="376">
      <x:c r="J376" s="42"/>
      <x:c r="K376" s="42"/>
      <x:c r="L376" s="42"/>
    </x:row>
    <x:row r="377">
      <x:c r="J377" s="42"/>
      <x:c r="K377" s="42"/>
      <x:c r="L377" s="42"/>
    </x:row>
    <x:row r="378">
      <x:c r="J378" s="42"/>
      <x:c r="K378" s="42"/>
      <x:c r="L378" s="42"/>
    </x:row>
    <x:row r="379">
      <x:c r="J379" s="42"/>
      <x:c r="K379" s="42"/>
      <x:c r="L379" s="42"/>
    </x:row>
    <x:row r="380">
      <x:c r="J380" s="42"/>
      <x:c r="K380" s="42"/>
      <x:c r="L380" s="42"/>
    </x:row>
    <x:row r="381">
      <x:c r="J381" s="42"/>
      <x:c r="K381" s="42"/>
      <x:c r="L381" s="42"/>
    </x:row>
    <x:row r="382">
      <x:c r="J382" s="42"/>
      <x:c r="K382" s="42"/>
      <x:c r="L382" s="42"/>
    </x:row>
    <x:row r="383">
      <x:c r="J383" s="42"/>
      <x:c r="K383" s="42"/>
      <x:c r="L383" s="42"/>
    </x:row>
    <x:row r="384">
      <x:c r="J384" s="42"/>
      <x:c r="K384" s="42"/>
      <x:c r="L384" s="42"/>
    </x:row>
    <x:row r="385">
      <x:c r="J385" s="42"/>
      <x:c r="K385" s="42"/>
      <x:c r="L385" s="42"/>
    </x:row>
    <x:row r="386">
      <x:c r="J386" s="42"/>
      <x:c r="K386" s="42"/>
      <x:c r="L386" s="42"/>
    </x:row>
    <x:row r="387">
      <x:c r="J387" s="42"/>
      <x:c r="K387" s="42"/>
      <x:c r="L387" s="42"/>
    </x:row>
    <x:row r="388">
      <x:c r="J388" s="42"/>
      <x:c r="K388" s="42"/>
      <x:c r="L388" s="42"/>
    </x:row>
    <x:row r="389">
      <x:c r="J389" s="42"/>
      <x:c r="K389" s="42"/>
      <x:c r="L389" s="42"/>
    </x:row>
    <x:row r="390">
      <x:c r="J390" s="42"/>
      <x:c r="K390" s="42"/>
      <x:c r="L390" s="42"/>
    </x:row>
    <x:row r="391">
      <x:c r="J391" s="42"/>
      <x:c r="K391" s="42"/>
      <x:c r="L391" s="42"/>
    </x:row>
    <x:row r="392">
      <x:c r="J392" s="42"/>
      <x:c r="K392" s="42"/>
      <x:c r="L392" s="42"/>
    </x:row>
    <x:row r="393">
      <x:c r="J393" s="42"/>
      <x:c r="K393" s="42"/>
      <x:c r="L393" s="42"/>
    </x:row>
    <x:row r="394">
      <x:c r="J394" s="42"/>
      <x:c r="K394" s="42"/>
      <x:c r="L394" s="42"/>
    </x:row>
    <x:row r="395">
      <x:c r="J395" s="42"/>
      <x:c r="K395" s="42"/>
      <x:c r="L395" s="42"/>
    </x:row>
    <x:row r="396">
      <x:c r="J396" s="42"/>
      <x:c r="K396" s="42"/>
      <x:c r="L396" s="42"/>
    </x:row>
    <x:row r="397">
      <x:c r="J397" s="42"/>
      <x:c r="K397" s="42"/>
      <x:c r="L397" s="42"/>
    </x:row>
    <x:row r="398">
      <x:c r="J398" s="42"/>
      <x:c r="K398" s="42"/>
      <x:c r="L398" s="42"/>
    </x:row>
    <x:row r="399">
      <x:c r="J399" s="42"/>
      <x:c r="K399" s="42"/>
      <x:c r="L399" s="42"/>
    </x:row>
    <x:row r="400">
      <x:c r="J400" s="42"/>
      <x:c r="K400" s="42"/>
      <x:c r="L400" s="42"/>
    </x:row>
    <x:row r="401">
      <x:c r="J401" s="42"/>
      <x:c r="K401" s="42"/>
      <x:c r="L401" s="42"/>
    </x:row>
    <x:row r="402">
      <x:c r="J402" s="42"/>
      <x:c r="K402" s="42"/>
      <x:c r="L402" s="42"/>
    </x:row>
    <x:row r="403">
      <x:c r="J403" s="42"/>
      <x:c r="K403" s="42"/>
      <x:c r="L403" s="42"/>
    </x:row>
    <x:row r="404">
      <x:c r="J404" s="42"/>
      <x:c r="K404" s="42"/>
      <x:c r="L404" s="42"/>
    </x:row>
    <x:row r="405">
      <x:c r="J405" s="42"/>
      <x:c r="K405" s="42"/>
      <x:c r="L405" s="42"/>
    </x:row>
    <x:row r="406">
      <x:c r="J406" s="42"/>
      <x:c r="K406" s="42"/>
      <x:c r="L406" s="42"/>
    </x:row>
    <x:row r="407">
      <x:c r="J407" s="42"/>
      <x:c r="K407" s="42"/>
      <x:c r="L407" s="42"/>
    </x:row>
    <x:row r="408">
      <x:c r="J408" s="42"/>
      <x:c r="K408" s="42"/>
      <x:c r="L408" s="42"/>
    </x:row>
    <x:row r="409">
      <x:c r="J409" s="42"/>
      <x:c r="K409" s="42"/>
      <x:c r="L409" s="42"/>
    </x:row>
    <x:row r="410">
      <x:c r="J410" s="42"/>
      <x:c r="K410" s="42"/>
      <x:c r="L410" s="42"/>
    </x:row>
    <x:row r="411">
      <x:c r="J411" s="42"/>
      <x:c r="K411" s="42"/>
      <x:c r="L411" s="42"/>
    </x:row>
    <x:row r="412">
      <x:c r="J412" s="42"/>
      <x:c r="K412" s="42"/>
      <x:c r="L412" s="42"/>
    </x:row>
    <x:row r="413">
      <x:c r="J413" s="42"/>
      <x:c r="K413" s="42"/>
      <x:c r="L413" s="42"/>
    </x:row>
    <x:row r="414">
      <x:c r="J414" s="42"/>
      <x:c r="K414" s="42"/>
      <x:c r="L414" s="42"/>
    </x:row>
    <x:row r="415">
      <x:c r="J415" s="42"/>
      <x:c r="K415" s="42"/>
      <x:c r="L415" s="42"/>
    </x:row>
    <x:row r="416">
      <x:c r="J416" s="42"/>
      <x:c r="K416" s="42"/>
      <x:c r="L416" s="42"/>
    </x:row>
    <x:row r="417">
      <x:c r="J417" s="42"/>
      <x:c r="K417" s="42"/>
      <x:c r="L417" s="42"/>
    </x:row>
    <x:row r="418">
      <x:c r="J418" s="42"/>
      <x:c r="K418" s="42"/>
      <x:c r="L418" s="42"/>
    </x:row>
    <x:row r="419">
      <x:c r="J419" s="42"/>
      <x:c r="K419" s="42"/>
      <x:c r="L419" s="42"/>
    </x:row>
    <x:row r="420">
      <x:c r="J420" s="42"/>
      <x:c r="K420" s="42"/>
      <x:c r="L420" s="42"/>
    </x:row>
    <x:row r="421">
      <x:c r="J421" s="42"/>
      <x:c r="K421" s="42"/>
      <x:c r="L421" s="42"/>
    </x:row>
    <x:row r="422">
      <x:c r="J422" s="42"/>
      <x:c r="K422" s="42"/>
      <x:c r="L422" s="42"/>
    </x:row>
    <x:row r="423">
      <x:c r="J423" s="42"/>
      <x:c r="K423" s="42"/>
      <x:c r="L423" s="42"/>
    </x:row>
    <x:row r="424">
      <x:c r="J424" s="42"/>
      <x:c r="K424" s="42"/>
      <x:c r="L424" s="42"/>
    </x:row>
    <x:row r="425">
      <x:c r="J425" s="42"/>
      <x:c r="K425" s="42"/>
      <x:c r="L425" s="42"/>
    </x:row>
    <x:row r="426">
      <x:c r="J426" s="42"/>
      <x:c r="K426" s="42"/>
      <x:c r="L426" s="42"/>
    </x:row>
    <x:row r="427">
      <x:c r="J427" s="42"/>
      <x:c r="K427" s="42"/>
      <x:c r="L427" s="42"/>
    </x:row>
    <x:row r="428">
      <x:c r="J428" s="42"/>
      <x:c r="K428" s="42"/>
      <x:c r="L428" s="42"/>
    </x:row>
    <x:row r="429">
      <x:c r="J429" s="42"/>
      <x:c r="K429" s="42"/>
      <x:c r="L429" s="42"/>
    </x:row>
    <x:row r="430">
      <x:c r="J430" s="42"/>
      <x:c r="K430" s="42"/>
      <x:c r="L430" s="42"/>
    </x:row>
    <x:row r="431">
      <x:c r="J431" s="42"/>
      <x:c r="K431" s="42"/>
      <x:c r="L431" s="42"/>
    </x:row>
    <x:row r="432">
      <x:c r="J432" s="42"/>
      <x:c r="K432" s="42"/>
      <x:c r="L432" s="42"/>
    </x:row>
    <x:row r="433">
      <x:c r="J433" s="42"/>
      <x:c r="K433" s="42"/>
      <x:c r="L433" s="42"/>
    </x:row>
    <x:row r="434">
      <x:c r="J434" s="42"/>
      <x:c r="K434" s="42"/>
      <x:c r="L434" s="42"/>
    </x:row>
    <x:row r="435">
      <x:c r="J435" s="42"/>
      <x:c r="K435" s="42"/>
      <x:c r="L435" s="42"/>
    </x:row>
    <x:row r="436">
      <x:c r="J436" s="42"/>
      <x:c r="K436" s="42"/>
      <x:c r="L436" s="42"/>
    </x:row>
    <x:row r="437">
      <x:c r="J437" s="42"/>
      <x:c r="K437" s="42"/>
      <x:c r="L437" s="42"/>
    </x:row>
    <x:row r="438">
      <x:c r="J438" s="42"/>
      <x:c r="K438" s="42"/>
      <x:c r="L438" s="42"/>
    </x:row>
    <x:row r="439">
      <x:c r="J439" s="42"/>
      <x:c r="K439" s="42"/>
      <x:c r="L439" s="42"/>
    </x:row>
    <x:row r="440">
      <x:c r="J440" s="42"/>
      <x:c r="K440" s="42"/>
      <x:c r="L440" s="42"/>
    </x:row>
    <x:row r="441">
      <x:c r="J441" s="42"/>
      <x:c r="K441" s="42"/>
      <x:c r="L441" s="42"/>
    </x:row>
    <x:row r="442">
      <x:c r="J442" s="42"/>
      <x:c r="K442" s="42"/>
      <x:c r="L442" s="42"/>
    </x:row>
    <x:row r="443">
      <x:c r="J443" s="42"/>
      <x:c r="K443" s="42"/>
      <x:c r="L443" s="42"/>
    </x:row>
    <x:row r="444">
      <x:c r="J444" s="42"/>
      <x:c r="K444" s="42"/>
      <x:c r="L444" s="42"/>
    </x:row>
    <x:row r="445">
      <x:c r="J445" s="42"/>
      <x:c r="K445" s="42"/>
      <x:c r="L445" s="42"/>
    </x:row>
    <x:row r="446">
      <x:c r="J446" s="42"/>
      <x:c r="K446" s="42"/>
      <x:c r="L446" s="42"/>
    </x:row>
    <x:row r="447">
      <x:c r="J447" s="42"/>
      <x:c r="K447" s="42"/>
      <x:c r="L447" s="42"/>
    </x:row>
    <x:row r="448">
      <x:c r="J448" s="42"/>
      <x:c r="K448" s="42"/>
      <x:c r="L448" s="42"/>
    </x:row>
    <x:row r="449">
      <x:c r="J449" s="42"/>
      <x:c r="K449" s="42"/>
      <x:c r="L449" s="42"/>
    </x:row>
    <x:row r="450">
      <x:c r="J450" s="42"/>
      <x:c r="K450" s="42"/>
      <x:c r="L450" s="42"/>
    </x:row>
    <x:row r="451">
      <x:c r="J451" s="42"/>
      <x:c r="K451" s="42"/>
      <x:c r="L451" s="42"/>
    </x:row>
    <x:row r="452">
      <x:c r="J452" s="42"/>
      <x:c r="K452" s="42"/>
      <x:c r="L452" s="42"/>
    </x:row>
    <x:row r="453">
      <x:c r="J453" s="42"/>
      <x:c r="K453" s="42"/>
      <x:c r="L453" s="42"/>
    </x:row>
    <x:row r="454">
      <x:c r="J454" s="42"/>
      <x:c r="K454" s="42"/>
      <x:c r="L454" s="42"/>
    </x:row>
    <x:row r="455">
      <x:c r="J455" s="42"/>
      <x:c r="K455" s="42"/>
      <x:c r="L455" s="42"/>
    </x:row>
    <x:row r="456">
      <x:c r="J456" s="42"/>
      <x:c r="K456" s="42"/>
      <x:c r="L456" s="42"/>
    </x:row>
    <x:row r="457">
      <x:c r="J457" s="42"/>
      <x:c r="K457" s="42"/>
      <x:c r="L457" s="42"/>
    </x:row>
    <x:row r="458">
      <x:c r="J458" s="42"/>
      <x:c r="K458" s="42"/>
      <x:c r="L458" s="42"/>
    </x:row>
    <x:row r="459">
      <x:c r="J459" s="42"/>
      <x:c r="K459" s="42"/>
      <x:c r="L459" s="42"/>
    </x:row>
    <x:row r="460">
      <x:c r="J460" s="42"/>
      <x:c r="K460" s="42"/>
      <x:c r="L460" s="42"/>
    </x:row>
    <x:row r="461">
      <x:c r="J461" s="42"/>
      <x:c r="K461" s="42"/>
      <x:c r="L461" s="42"/>
    </x:row>
    <x:row r="462">
      <x:c r="J462" s="42"/>
      <x:c r="K462" s="42"/>
      <x:c r="L462" s="42"/>
    </x:row>
    <x:row r="463">
      <x:c r="J463" s="42"/>
      <x:c r="K463" s="42"/>
      <x:c r="L463" s="42"/>
    </x:row>
    <x:row r="464">
      <x:c r="J464" s="42"/>
      <x:c r="K464" s="42"/>
      <x:c r="L464" s="42"/>
    </x:row>
    <x:row r="465">
      <x:c r="J465" s="42"/>
      <x:c r="K465" s="42"/>
      <x:c r="L465" s="42"/>
    </x:row>
    <x:row r="466">
      <x:c r="J466" s="42"/>
      <x:c r="K466" s="42"/>
      <x:c r="L466" s="42"/>
    </x:row>
    <x:row r="467">
      <x:c r="J467" s="42"/>
      <x:c r="K467" s="42"/>
      <x:c r="L467" s="42"/>
    </x:row>
    <x:row r="468">
      <x:c r="J468" s="42"/>
      <x:c r="K468" s="42"/>
      <x:c r="L468" s="42"/>
    </x:row>
    <x:row r="469">
      <x:c r="J469" s="42"/>
      <x:c r="K469" s="42"/>
      <x:c r="L469" s="42"/>
    </x:row>
    <x:row r="470">
      <x:c r="J470" s="42"/>
      <x:c r="K470" s="42"/>
      <x:c r="L470" s="42"/>
    </x:row>
    <x:row r="471">
      <x:c r="J471" s="42"/>
      <x:c r="K471" s="42"/>
      <x:c r="L471" s="42"/>
    </x:row>
    <x:row r="472">
      <x:c r="J472" s="42"/>
      <x:c r="K472" s="42"/>
      <x:c r="L472" s="42"/>
    </x:row>
    <x:row r="473">
      <x:c r="J473" s="42"/>
      <x:c r="K473" s="42"/>
      <x:c r="L473" s="42"/>
    </x:row>
    <x:row r="474">
      <x:c r="J474" s="42"/>
      <x:c r="K474" s="42"/>
      <x:c r="L474" s="42"/>
    </x:row>
    <x:row r="475">
      <x:c r="J475" s="42"/>
      <x:c r="K475" s="42"/>
      <x:c r="L475" s="42"/>
    </x:row>
    <x:row r="476">
      <x:c r="J476" s="42"/>
      <x:c r="K476" s="42"/>
      <x:c r="L476" s="42"/>
    </x:row>
    <x:row r="477">
      <x:c r="J477" s="42"/>
      <x:c r="K477" s="42"/>
      <x:c r="L477" s="42"/>
    </x:row>
    <x:row r="478">
      <x:c r="J478" s="42"/>
      <x:c r="K478" s="42"/>
      <x:c r="L478" s="42"/>
    </x:row>
    <x:row r="479">
      <x:c r="J479" s="42"/>
      <x:c r="K479" s="42"/>
      <x:c r="L479" s="42"/>
    </x:row>
    <x:row r="480">
      <x:c r="J480" s="42"/>
      <x:c r="K480" s="42"/>
      <x:c r="L480" s="42"/>
    </x:row>
    <x:row r="481">
      <x:c r="J481" s="42"/>
      <x:c r="K481" s="42"/>
      <x:c r="L481" s="42"/>
    </x:row>
    <x:row r="482">
      <x:c r="J482" s="42"/>
      <x:c r="K482" s="42"/>
      <x:c r="L482" s="42"/>
    </x:row>
    <x:row r="483">
      <x:c r="J483" s="42"/>
      <x:c r="K483" s="42"/>
      <x:c r="L483" s="42"/>
    </x:row>
    <x:row r="484">
      <x:c r="J484" s="42"/>
      <x:c r="K484" s="42"/>
      <x:c r="L484" s="42"/>
    </x:row>
    <x:row r="485">
      <x:c r="J485" s="42"/>
      <x:c r="K485" s="42"/>
      <x:c r="L485" s="42"/>
    </x:row>
    <x:row r="486">
      <x:c r="J486" s="42"/>
      <x:c r="K486" s="42"/>
      <x:c r="L486" s="42"/>
    </x:row>
    <x:row r="487">
      <x:c r="J487" s="42"/>
      <x:c r="K487" s="42"/>
      <x:c r="L487" s="42"/>
    </x:row>
    <x:row r="488">
      <x:c r="J488" s="42"/>
      <x:c r="K488" s="42"/>
      <x:c r="L488" s="42"/>
    </x:row>
    <x:row r="489">
      <x:c r="J489" s="42"/>
      <x:c r="K489" s="42"/>
      <x:c r="L489" s="42"/>
    </x:row>
    <x:row r="490">
      <x:c r="J490" s="42"/>
      <x:c r="K490" s="42"/>
      <x:c r="L490" s="42"/>
    </x:row>
    <x:row r="491">
      <x:c r="J491" s="42"/>
      <x:c r="K491" s="42"/>
      <x:c r="L491" s="42"/>
    </x:row>
    <x:row r="492">
      <x:c r="J492" s="42"/>
      <x:c r="K492" s="42"/>
      <x:c r="L492" s="42"/>
    </x:row>
    <x:row r="493">
      <x:c r="J493" s="42"/>
      <x:c r="K493" s="42"/>
      <x:c r="L493" s="42"/>
    </x:row>
    <x:row r="494">
      <x:c r="J494" s="42"/>
      <x:c r="K494" s="42"/>
      <x:c r="L494" s="42"/>
    </x:row>
    <x:row r="495">
      <x:c r="J495" s="42"/>
      <x:c r="K495" s="42"/>
      <x:c r="L495" s="42"/>
    </x:row>
    <x:row r="496">
      <x:c r="J496" s="42"/>
      <x:c r="K496" s="42"/>
      <x:c r="L496" s="42"/>
    </x:row>
    <x:row r="497">
      <x:c r="J497" s="42"/>
      <x:c r="K497" s="42"/>
      <x:c r="L497" s="42"/>
    </x:row>
    <x:row r="498">
      <x:c r="J498" s="42"/>
      <x:c r="K498" s="42"/>
      <x:c r="L498" s="42"/>
    </x:row>
    <x:row r="499">
      <x:c r="J499" s="42"/>
      <x:c r="K499" s="42"/>
      <x:c r="L499" s="42"/>
    </x:row>
    <x:row r="500">
      <x:c r="J500" s="42"/>
      <x:c r="K500" s="42"/>
      <x:c r="L500" s="42"/>
    </x:row>
  </x:sheetData>
  <x:dataValidations count="3">
    <x:dataValidation type="list" sqref="F2:F500">
      <x:formula1>Listas!$C$2:$C$3</x:formula1>
    </x:dataValidation>
    <x:dataValidation type="list" sqref="M2:M500">
      <x:formula1>Listas!$E$2:$E$6</x:formula1>
    </x:dataValidation>
    <x:dataValidation type="list" sqref="O2:O500">
      <x:formula1>Listas!$B$2:$B$7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d5d61775b749d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24" customHeight="1">
      <x:c r="A1" s="6" t="str">
        <x:v>Categoria</x:v>
      </x:c>
      <x:c r="B1" s="6" t="str">
        <x:v>Qtd. itens</x:v>
      </x:c>
      <x:c r="C1" s="6" t="str">
        <x:v>Menor preço</x:v>
      </x:c>
      <x:c r="D1" s="6" t="str">
        <x:v>Maior preço</x:v>
      </x:c>
      <x:c r="E1" s="6" t="str">
        <x:v>Preço médio</x:v>
      </x:c>
    </x:row>
    <x:row r="2">
      <x:c r="A2" s="13" t="str">
        <x:v>Acompanhamento</x:v>
      </x:c>
      <x:c r="B2" s="38" t="n">
        <x:f>COUNTIF(Cardapio!$B$2:$B$55,A2)</x:f>
        <x:v>3</x:v>
      </x:c>
      <x:c r="C2" s="39" t="n">
        <x:f>MINIFS(Cardapio!$E$2:$E$55,Cardapio!$B$2:$B$55,A2)</x:f>
        <x:v>11.99</x:v>
      </x:c>
      <x:c r="D2" s="39" t="n">
        <x:f>MAXIFS(Cardapio!$E$2:$E$55,Cardapio!$B$2:$B$55,A2)</x:f>
        <x:v>12</x:v>
      </x:c>
      <x:c r="E2" s="39" t="n">
        <x:f>AVERAGEIF(Cardapio!$B$2:$B$55,A2,Cardapio!$E$2:$E$55)</x:f>
        <x:v>11.993333333333334</x:v>
      </x:c>
    </x:row>
    <x:row r="3">
      <x:c r="A3" s="13" t="str">
        <x:v>Assados</x:v>
      </x:c>
      <x:c r="B3" s="38" t="n">
        <x:f>COUNTIF(Cardapio!$B$2:$B$55,A3)</x:f>
        <x:v>8</x:v>
      </x:c>
      <x:c r="C3" s="39" t="n">
        <x:f>MINIFS(Cardapio!$E$2:$E$55,Cardapio!$B$2:$B$55,A3)</x:f>
        <x:v>54.99</x:v>
      </x:c>
      <x:c r="D3" s="39" t="n">
        <x:f>MAXIFS(Cardapio!$E$2:$E$55,Cardapio!$B$2:$B$55,A3)</x:f>
        <x:v>74.99</x:v>
      </x:c>
      <x:c r="E3" s="39" t="n">
        <x:f>AVERAGEIF(Cardapio!$B$2:$B$55,A3,Cardapio!$E$2:$E$55)</x:f>
        <x:v>64.365</x:v>
      </x:c>
    </x:row>
    <x:row r="4">
      <x:c r="A4" s="13" t="str">
        <x:v>Bebidas alcoólicas</x:v>
      </x:c>
      <x:c r="B4" s="38" t="n">
        <x:f>COUNTIF(Cardapio!$B$2:$B$55,A4)</x:f>
        <x:v>8</x:v>
      </x:c>
      <x:c r="C4" s="39" t="n">
        <x:f>MINIFS(Cardapio!$E$2:$E$55,Cardapio!$B$2:$B$55,A4)</x:f>
        <x:v>5</x:v>
      </x:c>
      <x:c r="D4" s="39" t="n">
        <x:f>MAXIFS(Cardapio!$E$2:$E$55,Cardapio!$B$2:$B$55,A4)</x:f>
        <x:v>7</x:v>
      </x:c>
      <x:c r="E4" s="39" t="n">
        <x:f>AVERAGEIF(Cardapio!$B$2:$B$55,A4,Cardapio!$E$2:$E$55)</x:f>
        <x:v>6</x:v>
      </x:c>
    </x:row>
    <x:row r="5">
      <x:c r="A5" s="13" t="str">
        <x:v>Bebidas não alcoólicas</x:v>
      </x:c>
      <x:c r="B5" s="38" t="n">
        <x:f>COUNTIF(Cardapio!$B$2:$B$55,A5)</x:f>
        <x:v>23</x:v>
      </x:c>
      <x:c r="C5" s="39" t="n">
        <x:f>MINIFS(Cardapio!$E$2:$E$55,Cardapio!$B$2:$B$55,A5)</x:f>
        <x:v>3</x:v>
      </x:c>
      <x:c r="D5" s="39" t="n">
        <x:f>MAXIFS(Cardapio!$E$2:$E$55,Cardapio!$B$2:$B$55,A5)</x:f>
        <x:v>16</x:v>
      </x:c>
      <x:c r="E5" s="39" t="n">
        <x:f>AVERAGEIF(Cardapio!$B$2:$B$55,A5,Cardapio!$E$2:$E$55)</x:f>
        <x:v>7.782608695652174</x:v>
      </x:c>
    </x:row>
    <x:row r="6">
      <x:c r="A6" s="13" t="str">
        <x:v>Farofas</x:v>
      </x:c>
      <x:c r="B6" s="38" t="n">
        <x:f>COUNTIF(Cardapio!$B$2:$B$55,A6)</x:f>
        <x:v>2</x:v>
      </x:c>
      <x:c r="C6" s="39" t="n">
        <x:f>MINIFS(Cardapio!$E$2:$E$55,Cardapio!$B$2:$B$55,A6)</x:f>
        <x:v>18.99</x:v>
      </x:c>
      <x:c r="D6" s="39" t="n">
        <x:f>MAXIFS(Cardapio!$E$2:$E$55,Cardapio!$B$2:$B$55,A6)</x:f>
        <x:v>18.99</x:v>
      </x:c>
      <x:c r="E6" s="39" t="n">
        <x:f>AVERAGEIF(Cardapio!$B$2:$B$55,A6,Cardapio!$E$2:$E$55)</x:f>
        <x:v>18.99</x:v>
      </x:c>
    </x:row>
    <x:row r="7">
      <x:c r="A7" s="13" t="str">
        <x:v>Massas prontas</x:v>
      </x:c>
      <x:c r="B7" s="38" t="n">
        <x:f>COUNTIF(Cardapio!$B$2:$B$55,A7)</x:f>
        <x:v>2</x:v>
      </x:c>
      <x:c r="C7" s="39" t="n">
        <x:f>MINIFS(Cardapio!$E$2:$E$55,Cardapio!$B$2:$B$55,A7)</x:f>
        <x:v>23.99</x:v>
      </x:c>
      <x:c r="D7" s="39" t="n">
        <x:f>MAXIFS(Cardapio!$E$2:$E$55,Cardapio!$B$2:$B$55,A7)</x:f>
        <x:v>23.99</x:v>
      </x:c>
      <x:c r="E7" s="39" t="n">
        <x:f>AVERAGEIF(Cardapio!$B$2:$B$55,A7,Cardapio!$E$2:$E$55)</x:f>
        <x:v>23.99</x:v>
      </x:c>
    </x:row>
    <x:row r="8">
      <x:c r="A8" s="13" t="str">
        <x:v>Massas pré-prontas</x:v>
      </x:c>
      <x:c r="B8" s="38" t="n">
        <x:f>COUNTIF(Cardapio!$B$2:$B$55,A8)</x:f>
        <x:v>5</x:v>
      </x:c>
      <x:c r="C8" s="39" t="n">
        <x:f>MINIFS(Cardapio!$E$2:$E$55,Cardapio!$B$2:$B$55,A8)</x:f>
        <x:v>23.99</x:v>
      </x:c>
      <x:c r="D8" s="39" t="n">
        <x:f>MAXIFS(Cardapio!$E$2:$E$55,Cardapio!$B$2:$B$55,A8)</x:f>
        <x:v>39.99</x:v>
      </x:c>
      <x:c r="E8" s="39" t="n">
        <x:f>AVERAGEIF(Cardapio!$B$2:$B$55,A8,Cardapio!$E$2:$E$55)</x:f>
        <x:v>30.390000000000004</x:v>
      </x:c>
    </x:row>
    <x:row r="9">
      <x:c r="A9" s="13" t="str">
        <x:v>Saladas</x:v>
      </x:c>
      <x:c r="B9" s="38" t="n">
        <x:f>COUNTIF(Cardapio!$B$2:$B$55,A9)</x:f>
        <x:v>3</x:v>
      </x:c>
      <x:c r="C9" s="39" t="n">
        <x:f>MINIFS(Cardapio!$E$2:$E$55,Cardapio!$B$2:$B$55,A9)</x:f>
        <x:v>14.99</x:v>
      </x:c>
      <x:c r="D9" s="39" t="n">
        <x:f>MAXIFS(Cardapio!$E$2:$E$55,Cardapio!$B$2:$B$55,A9)</x:f>
        <x:v>19.99</x:v>
      </x:c>
      <x:c r="E9" s="39" t="n">
        <x:f>AVERAGEIF(Cardapio!$B$2:$B$55,A9,Cardapio!$E$2:$E$55)</x:f>
        <x:v>17.323333333333334</x:v>
      </x:c>
    </x:row>
    <x:row r="10">
      <x:c r="A10" s="13"/>
      <x:c r="B10" s="13"/>
      <x:c r="C10" s="20"/>
      <x:c r="D10" s="20"/>
      <x:c r="E10" s="20"/>
    </x:row>
    <x:row r="11">
      <x:c r="A11" s="6" t="str">
        <x:v>Indicador</x:v>
      </x:c>
      <x:c r="B11" s="6" t="str">
        <x:v>Valor</x:v>
      </x:c>
      <x:c r="C11" s="20"/>
      <x:c r="D11" s="20"/>
      <x:c r="E11" s="20"/>
    </x:row>
    <x:row r="12">
      <x:c r="A12" s="13" t="str">
        <x:v>Total de itens no cardápio</x:v>
      </x:c>
      <x:c r="B12" s="38" t="n">
        <x:f>COUNTA(Cardapio!$A$2:$A$55)</x:f>
        <x:v>54</x:v>
      </x:c>
      <x:c r="C12" s="20"/>
      <x:c r="D12" s="20"/>
      <x:c r="E12" s="20"/>
    </x:row>
    <x:row r="13">
      <x:c r="A13" s="13" t="str">
        <x:v>Itens disponíveis</x:v>
      </x:c>
      <x:c r="B13" s="38" t="n">
        <x:f>COUNTIF(Cardapio!$F$2:$F$55,"SIM")</x:f>
        <x:v>54</x:v>
      </x:c>
      <x:c r="C13" s="20"/>
      <x:c r="D13" s="20"/>
      <x:c r="E13" s="20"/>
    </x:row>
    <x:row r="14">
      <x:c r="A14" s="13" t="str">
        <x:v>Itens indisponíveis</x:v>
      </x:c>
      <x:c r="B14" s="38" t="n">
        <x:f>COUNTIF(Cardapio!$F$2:$F$55,"NÃO")</x:f>
        <x:v>0</x:v>
      </x:c>
      <x:c r="C14" s="20"/>
      <x:c r="D14" s="20"/>
      <x:c r="E14" s="20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24" hidden="0" customWidth="1"/>
    <x:col min="5" max="5" width="26" hidden="0" customWidth="1"/>
  </x:cols>
  <x:sheetData>
    <x:row r="1" ht="24" customHeight="1">
      <x:c r="A1" s="6" t="str">
        <x:v>SIM_NAO</x:v>
      </x:c>
      <x:c r="B1" s="6" t="str">
        <x:v>Status_Pedido</x:v>
      </x:c>
      <x:c r="C1" s="6" t="str">
        <x:v>Tipo_Entrega</x:v>
      </x:c>
      <x:c r="D1" s="6" t="str">
        <x:v>Categoria</x:v>
      </x:c>
      <x:c r="E1" s="6" t="str">
        <x:v>Forma_Pagamento</x:v>
      </x:c>
    </x:row>
    <x:row r="2">
      <x:c r="A2" s="13" t="str">
        <x:v>SIM</x:v>
      </x:c>
      <x:c r="B2" s="13" t="str">
        <x:v>Recebido</x:v>
      </x:c>
      <x:c r="C2" s="13" t="str">
        <x:v>Entrega</x:v>
      </x:c>
      <x:c r="D2" s="13" t="str">
        <x:v>Acompanhamento</x:v>
      </x:c>
      <x:c r="E2" s="13" t="str">
        <x:v>Pix</x:v>
      </x:c>
    </x:row>
    <x:row r="3">
      <x:c r="A3" s="13" t="str">
        <x:v>NÃO</x:v>
      </x:c>
      <x:c r="B3" s="13" t="str">
        <x:v>Confirmado</x:v>
      </x:c>
      <x:c r="C3" s="13" t="str">
        <x:v>Retirada</x:v>
      </x:c>
      <x:c r="D3" s="13" t="str">
        <x:v>Assados</x:v>
      </x:c>
      <x:c r="E3" s="13" t="str">
        <x:v>Cartão de débito</x:v>
      </x:c>
    </x:row>
    <x:row r="4">
      <x:c r="A4" s="13" t="str"/>
      <x:c r="B4" s="13" t="str">
        <x:v>Em preparo</x:v>
      </x:c>
      <x:c r="C4" s="13" t="str"/>
      <x:c r="D4" s="13" t="str">
        <x:v>Bebidas alcoólicas</x:v>
      </x:c>
      <x:c r="E4" s="13" t="str">
        <x:v>Cartão de crédito</x:v>
      </x:c>
    </x:row>
    <x:row r="5">
      <x:c r="A5" s="13" t="str"/>
      <x:c r="B5" s="13" t="str">
        <x:v>Saiu para entrega</x:v>
      </x:c>
      <x:c r="C5" s="13" t="str"/>
      <x:c r="D5" s="13" t="str">
        <x:v>Bebidas não alcoólicas</x:v>
      </x:c>
      <x:c r="E5" s="13" t="str">
        <x:v>Dinheiro</x:v>
      </x:c>
    </x:row>
    <x:row r="6">
      <x:c r="A6" s="13" t="str"/>
      <x:c r="B6" s="13" t="str">
        <x:v>Finalizado</x:v>
      </x:c>
      <x:c r="C6" s="13" t="str"/>
      <x:c r="D6" s="13" t="str">
        <x:v>Farofas</x:v>
      </x:c>
      <x:c r="E6" s="13" t="str">
        <x:v>Vale-refeição / benefício</x:v>
      </x:c>
    </x:row>
    <x:row r="7">
      <x:c r="A7" s="13" t="str"/>
      <x:c r="B7" s="13" t="str">
        <x:v>Cancelado</x:v>
      </x:c>
      <x:c r="C7" s="13" t="str"/>
      <x:c r="D7" s="13" t="str">
        <x:v>Massas prontas</x:v>
      </x:c>
      <x:c r="E7" s="13" t="str"/>
    </x:row>
    <x:row r="8">
      <x:c r="A8" s="13" t="str"/>
      <x:c r="B8" s="13" t="str"/>
      <x:c r="C8" s="13" t="str"/>
      <x:c r="D8" s="13" t="str">
        <x:v>Massas pré-prontas</x:v>
      </x:c>
      <x:c r="E8" s="13" t="str"/>
    </x:row>
    <x:row r="9">
      <x:c r="A9" s="13" t="str"/>
      <x:c r="B9" s="13" t="str"/>
      <x:c r="C9" s="13" t="str"/>
      <x:c r="D9" s="13" t="str">
        <x:v>Saladas</x:v>
      </x:c>
      <x:c r="E9" s="13" t="str"/>
    </x:row>
    <x:row r="10">
      <x:c r="A10" s="13" t="str"/>
      <x:c r="B10" s="13" t="str"/>
      <x:c r="C10" s="13" t="str"/>
      <x:c r="D10" s="13" t="str"/>
      <x:c r="E10" s="13" t="str"/>
    </x:row>
  </x:sheetData>
  <x:pageMargins left="0.7" right="0.7" top="0.75" bottom="0.75" header="0.3" footer="0.3"/>
</x:worksheet>
</file>